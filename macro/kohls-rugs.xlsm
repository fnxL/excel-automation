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nx\Downloads\OneDrive_1_28-2-2025\"/>
    </mc:Choice>
  </mc:AlternateContent>
  <xr:revisionPtr revIDLastSave="0" documentId="13_ncr:1_{253FB0E1-D08C-48E2-8FBC-2C82CF73E4D0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O CREATION SHEET" sheetId="296" r:id="rId1"/>
    <sheet name="Sheet1" sheetId="306" r:id="rId2"/>
  </sheets>
  <definedNames>
    <definedName name="_xlnm._FilterDatabase" localSheetId="0" hidden="1">'SO CREATION SHEET'!$A$1:$AJ$2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296" l="1"/>
  <c r="N5" i="296"/>
  <c r="N4" i="296"/>
  <c r="N3" i="296" l="1"/>
  <c r="G7" i="306" l="1"/>
</calcChain>
</file>

<file path=xl/sharedStrings.xml><?xml version="1.0" encoding="utf-8"?>
<sst xmlns="http://schemas.openxmlformats.org/spreadsheetml/2006/main" count="180" uniqueCount="89">
  <si>
    <t>Fast data entry</t>
  </si>
  <si>
    <t>PO</t>
  </si>
  <si>
    <t>SO#</t>
  </si>
  <si>
    <t>SOLD TO PARTY</t>
  </si>
  <si>
    <t>SHIP TO PARTY</t>
  </si>
  <si>
    <t>PAYMENT 
TERM</t>
  </si>
  <si>
    <t>INCO
TERMS</t>
  </si>
  <si>
    <t>INCOTERM 2</t>
  </si>
  <si>
    <t>order reason</t>
  </si>
  <si>
    <t>END 
CUSTOMER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</si>
  <si>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</si>
  <si>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</si>
  <si>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</si>
  <si>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</si>
  <si>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</si>
  <si>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</si>
  <si>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</si>
  <si>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</si>
  <si>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</si>
  <si>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</si>
  <si>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</si>
  <si>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Amount</t>
  </si>
  <si>
    <t>Destination</t>
  </si>
  <si>
    <t>Plant</t>
  </si>
  <si>
    <t>PIS</t>
  </si>
  <si>
    <t>Main Screen</t>
  </si>
  <si>
    <t>REPLENISHMENT</t>
  </si>
  <si>
    <t xml:space="preserve"> </t>
  </si>
  <si>
    <t>SALES ORGANIZATION</t>
  </si>
  <si>
    <t>DISTRIBUTION CHANNEL</t>
  </si>
  <si>
    <t xml:space="preserve"> Product packing style</t>
  </si>
  <si>
    <t>Product Packing type</t>
  </si>
  <si>
    <t xml:space="preserve">Production type </t>
  </si>
  <si>
    <t>Shade Number -YD</t>
  </si>
  <si>
    <t>RETAIL</t>
  </si>
  <si>
    <t>NIL</t>
  </si>
  <si>
    <t>NA</t>
  </si>
  <si>
    <t>Rugs Sort No-</t>
  </si>
  <si>
    <t>Shade  No- /Washing/Dyeing -PD</t>
  </si>
  <si>
    <t>Printing Shade No-</t>
  </si>
  <si>
    <t>Set No-</t>
  </si>
  <si>
    <t>Cust- Material</t>
  </si>
  <si>
    <t>PO AVAILABILITY DATE</t>
  </si>
  <si>
    <t>A/C HOLDER</t>
  </si>
  <si>
    <t>NOTIFY</t>
  </si>
  <si>
    <t>Program</t>
  </si>
  <si>
    <t>4867299236 28</t>
  </si>
  <si>
    <t>4867299235 28</t>
  </si>
  <si>
    <t>FY 24-25</t>
  </si>
  <si>
    <t>PCO COTTON BATH RUG</t>
  </si>
  <si>
    <t>Dec</t>
  </si>
  <si>
    <t>Sep</t>
  </si>
  <si>
    <t>Year</t>
  </si>
  <si>
    <t xml:space="preserve">SO Date Generate </t>
  </si>
  <si>
    <t>PO Received Date</t>
  </si>
  <si>
    <t>PO#</t>
  </si>
  <si>
    <t>Qty Pcs</t>
  </si>
  <si>
    <t>SO Amount</t>
  </si>
  <si>
    <t>Ship Date</t>
  </si>
  <si>
    <t>Month'Yr</t>
  </si>
  <si>
    <t>SHIP</t>
  </si>
  <si>
    <t>Remark</t>
  </si>
  <si>
    <t>4865279880 28</t>
  </si>
  <si>
    <t>FY 23-24</t>
  </si>
  <si>
    <t>Jun</t>
  </si>
  <si>
    <t xml:space="preserve">S/W date updated </t>
  </si>
  <si>
    <t>New SO</t>
  </si>
  <si>
    <t>G. TOTAL</t>
  </si>
  <si>
    <t>4867454038 28</t>
  </si>
  <si>
    <t>July</t>
  </si>
  <si>
    <t>4867523044 28</t>
  </si>
  <si>
    <t>PC HYGRO BATH RUG</t>
  </si>
  <si>
    <t>$8,964.0</t>
  </si>
  <si>
    <t>USA</t>
  </si>
  <si>
    <t>4869049355 28</t>
  </si>
  <si>
    <t>$4482</t>
  </si>
  <si>
    <t>W137</t>
  </si>
  <si>
    <t>NEW YORK</t>
  </si>
  <si>
    <t>B1</t>
  </si>
  <si>
    <t>SALUJA TIRKEY</t>
  </si>
  <si>
    <t>JNPT</t>
  </si>
  <si>
    <t>ZWEO</t>
  </si>
  <si>
    <t>Buffer - Store</t>
  </si>
  <si>
    <t>RFKH601043MMY</t>
  </si>
  <si>
    <t>BLUE-1</t>
  </si>
  <si>
    <t>CHOCOLATE</t>
  </si>
  <si>
    <t>DK.GREY</t>
  </si>
  <si>
    <t>LT.AQUA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</si>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</sst>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4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2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mbria"/>
      <family val="1"/>
      <scheme val="major"/>
    </font>
    <font>
      <b/>
      <sz val="10"/>
      <color rgb="FF000080"/>
      <name val="Cambria"/>
      <family val="1"/>
      <scheme val="major"/>
    </font>
    <font>
      <b/>
      <sz val="10"/>
      <color theme="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  <font>
      <b/>
      <sz val="11"/>
      <color rgb="FF000080"/>
      <name val="Arial"/>
      <family val="2"/>
    </font>
    <font>
      <sz val="12"/>
      <color rgb="FF000000"/>
      <name val="Times New Roman"/>
      <family val="1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249977111117893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3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14" borderId="0" applyNumberFormat="0" applyBorder="0" applyAlignment="0" applyProtection="0"/>
    <xf numFmtId="0" fontId="19" fillId="18" borderId="0" applyNumberFormat="0" applyBorder="0" applyAlignment="0" applyProtection="0"/>
    <xf numFmtId="0" fontId="19" fillId="22" borderId="0" applyNumberFormat="0" applyBorder="0" applyAlignment="0" applyProtection="0"/>
    <xf numFmtId="0" fontId="19" fillId="26" borderId="0" applyNumberFormat="0" applyBorder="0" applyAlignment="0" applyProtection="0"/>
    <xf numFmtId="0" fontId="19" fillId="30" borderId="0" applyNumberFormat="0" applyBorder="0" applyAlignment="0" applyProtection="0"/>
    <xf numFmtId="0" fontId="19" fillId="34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9" borderId="0" applyNumberFormat="0" applyBorder="0" applyAlignment="0" applyProtection="0"/>
    <xf numFmtId="0" fontId="19" fillId="23" borderId="0" applyNumberFormat="0" applyBorder="0" applyAlignment="0" applyProtection="0"/>
    <xf numFmtId="0" fontId="19" fillId="27" borderId="0" applyNumberFormat="0" applyBorder="0" applyAlignment="0" applyProtection="0"/>
    <xf numFmtId="0" fontId="19" fillId="31" borderId="0" applyNumberFormat="0" applyBorder="0" applyAlignment="0" applyProtection="0"/>
    <xf numFmtId="0" fontId="9" fillId="5" borderId="0" applyNumberFormat="0" applyBorder="0" applyAlignment="0" applyProtection="0"/>
    <xf numFmtId="0" fontId="13" fillId="8" borderId="5" applyNumberFormat="0" applyAlignment="0" applyProtection="0"/>
    <xf numFmtId="0" fontId="15" fillId="9" borderId="8" applyNumberFormat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11" fillId="7" borderId="5" applyNumberFormat="0" applyAlignment="0" applyProtection="0"/>
    <xf numFmtId="0" fontId="14" fillId="0" borderId="7" applyNumberFormat="0" applyFill="0" applyAlignment="0" applyProtection="0"/>
    <xf numFmtId="0" fontId="10" fillId="6" borderId="0" applyNumberFormat="0" applyBorder="0" applyAlignment="0" applyProtection="0"/>
    <xf numFmtId="0" fontId="3" fillId="10" borderId="9" applyNumberFormat="0" applyFont="0" applyAlignment="0" applyProtection="0"/>
    <xf numFmtId="0" fontId="12" fillId="8" borderId="6" applyNumberFormat="0" applyAlignment="0" applyProtection="0"/>
    <xf numFmtId="0" fontId="4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0" applyNumberFormat="0" applyBorder="0" applyAlignment="0" applyProtection="0"/>
    <xf numFmtId="0" fontId="26" fillId="7" borderId="5" applyNumberFormat="0" applyAlignment="0" applyProtection="0"/>
    <xf numFmtId="0" fontId="27" fillId="8" borderId="6" applyNumberFormat="0" applyAlignment="0" applyProtection="0"/>
    <xf numFmtId="0" fontId="28" fillId="8" borderId="5" applyNumberFormat="0" applyAlignment="0" applyProtection="0"/>
    <xf numFmtId="0" fontId="29" fillId="0" borderId="7" applyNumberFormat="0" applyFill="0" applyAlignment="0" applyProtection="0"/>
    <xf numFmtId="0" fontId="30" fillId="9" borderId="8" applyNumberFormat="0" applyAlignment="0" applyProtection="0"/>
    <xf numFmtId="0" fontId="31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0" applyNumberFormat="0" applyFill="0" applyAlignment="0" applyProtection="0"/>
    <xf numFmtId="0" fontId="3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4" fillId="34" borderId="0" applyNumberFormat="0" applyBorder="0" applyAlignment="0" applyProtection="0"/>
    <xf numFmtId="0" fontId="1" fillId="0" borderId="0">
      <alignment vertical="center"/>
    </xf>
    <xf numFmtId="0" fontId="1" fillId="0" borderId="0"/>
    <xf numFmtId="0" fontId="35" fillId="0" borderId="0" applyNumberFormat="0" applyFill="0" applyBorder="0" applyAlignment="0" applyProtection="0"/>
    <xf numFmtId="0" fontId="37" fillId="0" borderId="0"/>
    <xf numFmtId="0" fontId="1" fillId="0" borderId="0"/>
  </cellStyleXfs>
  <cellXfs count="52">
    <xf numFmtId="0" fontId="0" fillId="0" borderId="0" xfId="0"/>
    <xf numFmtId="0" fontId="42" fillId="39" borderId="1" xfId="0" applyFont="1" applyFill="1" applyBorder="1" applyAlignment="1">
      <alignment horizontal="center" vertical="center"/>
    </xf>
    <xf numFmtId="0" fontId="40" fillId="36" borderId="1" xfId="0" applyFont="1" applyFill="1" applyBorder="1" applyAlignment="1">
      <alignment horizontal="center" vertical="center"/>
    </xf>
    <xf numFmtId="15" fontId="40" fillId="36" borderId="1" xfId="0" applyNumberFormat="1" applyFont="1" applyFill="1" applyBorder="1" applyAlignment="1">
      <alignment horizontal="center" vertical="center"/>
    </xf>
    <xf numFmtId="15" fontId="40" fillId="0" borderId="1" xfId="0" applyNumberFormat="1" applyFont="1" applyBorder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0" fontId="40" fillId="0" borderId="1" xfId="0" applyFont="1" applyBorder="1" applyAlignment="1">
      <alignment horizontal="center"/>
    </xf>
    <xf numFmtId="3" fontId="40" fillId="0" borderId="1" xfId="0" applyNumberFormat="1" applyFont="1" applyBorder="1" applyAlignment="1">
      <alignment horizontal="center"/>
    </xf>
    <xf numFmtId="4" fontId="40" fillId="0" borderId="1" xfId="0" applyNumberFormat="1" applyFont="1" applyBorder="1" applyAlignment="1">
      <alignment horizontal="center"/>
    </xf>
    <xf numFmtId="0" fontId="41" fillId="2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3" fontId="0" fillId="0" borderId="1" xfId="0" applyNumberFormat="1" applyBorder="1"/>
    <xf numFmtId="0" fontId="44" fillId="36" borderId="1" xfId="0" applyFont="1" applyFill="1" applyBorder="1" applyAlignment="1">
      <alignment horizontal="center" vertical="center"/>
    </xf>
    <xf numFmtId="15" fontId="44" fillId="36" borderId="1" xfId="0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4" fontId="44" fillId="36" borderId="1" xfId="0" applyNumberFormat="1" applyFont="1" applyFill="1" applyBorder="1" applyAlignment="1">
      <alignment horizontal="center" vertical="center"/>
    </xf>
    <xf numFmtId="15" fontId="4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44" fillId="0" borderId="1" xfId="0" applyFont="1" applyBorder="1" applyAlignment="1">
      <alignment horizontal="center" vertical="center"/>
    </xf>
    <xf numFmtId="0" fontId="46" fillId="0" borderId="1" xfId="0" applyFont="1" applyBorder="1"/>
    <xf numFmtId="0" fontId="36" fillId="2" borderId="1" xfId="0" applyFont="1" applyFill="1" applyBorder="1" applyAlignment="1">
      <alignment horizontal="left" vertical="center"/>
    </xf>
    <xf numFmtId="0" fontId="36" fillId="2" borderId="12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33" fillId="35" borderId="1" xfId="0" applyFont="1" applyFill="1" applyBorder="1" applyAlignment="1">
      <alignment horizontal="left" vertical="center" wrapText="1"/>
    </xf>
    <xf numFmtId="0" fontId="33" fillId="35" borderId="12" xfId="0" applyFont="1" applyFill="1" applyBorder="1" applyAlignment="1">
      <alignment horizontal="left" vertical="center" wrapText="1"/>
    </xf>
    <xf numFmtId="0" fontId="33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39" fillId="38" borderId="1" xfId="0" applyFont="1" applyFill="1" applyBorder="1" applyAlignment="1">
      <alignment horizontal="left" vertical="center"/>
    </xf>
    <xf numFmtId="0" fontId="0" fillId="38" borderId="0" xfId="0" applyFill="1" applyAlignment="1">
      <alignment horizontal="left"/>
    </xf>
    <xf numFmtId="0" fontId="38" fillId="3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4" fontId="0" fillId="0" borderId="1" xfId="0" applyNumberFormat="1" applyBorder="1"/>
    <xf numFmtId="0" fontId="0" fillId="3" borderId="1" xfId="0" applyFill="1" applyBorder="1" applyAlignment="1">
      <alignment horizontal="left"/>
    </xf>
    <xf numFmtId="14" fontId="0" fillId="3" borderId="1" xfId="0" applyNumberFormat="1" applyFill="1" applyBorder="1" applyAlignment="1">
      <alignment horizontal="left"/>
    </xf>
    <xf numFmtId="0" fontId="38" fillId="3" borderId="1" xfId="0" applyFont="1" applyFill="1" applyBorder="1" applyAlignment="1">
      <alignment horizontal="left"/>
    </xf>
    <xf numFmtId="0" fontId="0" fillId="3" borderId="13" xfId="0" applyFill="1" applyBorder="1" applyAlignment="1">
      <alignment horizontal="left" vertical="center"/>
    </xf>
    <xf numFmtId="0" fontId="31" fillId="3" borderId="11" xfId="0" applyFont="1" applyFill="1" applyBorder="1" applyAlignment="1">
      <alignment horizontal="left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horizontal="left" vertical="top"/>
    </xf>
    <xf numFmtId="164" fontId="0" fillId="0" borderId="1" xfId="0" applyNumberFormat="1" applyBorder="1"/>
    <xf numFmtId="0" fontId="0" fillId="38" borderId="1" xfId="0" applyFill="1" applyBorder="1" applyAlignment="1">
      <alignment horizontal="left"/>
    </xf>
    <xf numFmtId="1" fontId="0" fillId="0" borderId="1" xfId="0" applyNumberFormat="1" applyBorder="1"/>
    <xf numFmtId="0" fontId="47" fillId="0" borderId="1" xfId="0" applyFont="1" applyBorder="1"/>
    <xf numFmtId="0" fontId="0" fillId="2" borderId="1" xfId="0" applyFill="1" applyBorder="1" applyAlignment="1">
      <alignment horizontal="left"/>
    </xf>
    <xf numFmtId="0" fontId="33" fillId="35" borderId="1" xfId="0" applyFont="1" applyFill="1" applyBorder="1" applyAlignment="1">
      <alignment horizontal="left" vertical="center"/>
    </xf>
    <xf numFmtId="0" fontId="42" fillId="39" borderId="1" xfId="0" applyFont="1" applyFill="1" applyBorder="1" applyAlignment="1">
      <alignment horizontal="center" vertical="center"/>
    </xf>
    <xf numFmtId="0" fontId="43" fillId="37" borderId="1" xfId="0" applyFont="1" applyFill="1" applyBorder="1" applyAlignment="1">
      <alignment horizontal="center" vertical="center"/>
    </xf>
  </cellXfs>
  <cellStyles count="93">
    <cellStyle name="20% - Accent1" xfId="65" builtinId="30" customBuiltin="1"/>
    <cellStyle name="20% - Accent1 2" xfId="6" xr:uid="{00000000-0005-0000-0000-000001000000}"/>
    <cellStyle name="20% - Accent2" xfId="69" builtinId="34" customBuiltin="1"/>
    <cellStyle name="20% - Accent2 2" xfId="7" xr:uid="{00000000-0005-0000-0000-000003000000}"/>
    <cellStyle name="20% - Accent3" xfId="73" builtinId="38" customBuiltin="1"/>
    <cellStyle name="20% - Accent3 2" xfId="8" xr:uid="{00000000-0005-0000-0000-000005000000}"/>
    <cellStyle name="20% - Accent4" xfId="77" builtinId="42" customBuiltin="1"/>
    <cellStyle name="20% - Accent4 2" xfId="9" xr:uid="{00000000-0005-0000-0000-000007000000}"/>
    <cellStyle name="20% - Accent5" xfId="81" builtinId="46" customBuiltin="1"/>
    <cellStyle name="20% - Accent5 2" xfId="10" xr:uid="{00000000-0005-0000-0000-000009000000}"/>
    <cellStyle name="20% - Accent6" xfId="85" builtinId="50" customBuiltin="1"/>
    <cellStyle name="20% - Accent6 2" xfId="11" xr:uid="{00000000-0005-0000-0000-00000B000000}"/>
    <cellStyle name="40% - Accent1" xfId="66" builtinId="31" customBuiltin="1"/>
    <cellStyle name="40% - Accent1 2" xfId="12" xr:uid="{00000000-0005-0000-0000-00000D000000}"/>
    <cellStyle name="40% - Accent2" xfId="70" builtinId="35" customBuiltin="1"/>
    <cellStyle name="40% - Accent2 2" xfId="13" xr:uid="{00000000-0005-0000-0000-00000F000000}"/>
    <cellStyle name="40% - Accent3" xfId="74" builtinId="39" customBuiltin="1"/>
    <cellStyle name="40% - Accent3 2" xfId="14" xr:uid="{00000000-0005-0000-0000-000011000000}"/>
    <cellStyle name="40% - Accent4" xfId="78" builtinId="43" customBuiltin="1"/>
    <cellStyle name="40% - Accent4 2" xfId="15" xr:uid="{00000000-0005-0000-0000-000013000000}"/>
    <cellStyle name="40% - Accent5" xfId="82" builtinId="47" customBuiltin="1"/>
    <cellStyle name="40% - Accent5 2" xfId="16" xr:uid="{00000000-0005-0000-0000-000015000000}"/>
    <cellStyle name="40% - Accent6" xfId="86" builtinId="51" customBuiltin="1"/>
    <cellStyle name="40% - Accent6 2" xfId="17" xr:uid="{00000000-0005-0000-0000-000017000000}"/>
    <cellStyle name="60% - Accent1" xfId="67" builtinId="32" customBuiltin="1"/>
    <cellStyle name="60% - Accent1 2" xfId="18" xr:uid="{00000000-0005-0000-0000-000019000000}"/>
    <cellStyle name="60% - Accent2" xfId="71" builtinId="36" customBuiltin="1"/>
    <cellStyle name="60% - Accent2 2" xfId="19" xr:uid="{00000000-0005-0000-0000-00001B000000}"/>
    <cellStyle name="60% - Accent3" xfId="75" builtinId="40" customBuiltin="1"/>
    <cellStyle name="60% - Accent3 2" xfId="20" xr:uid="{00000000-0005-0000-0000-00001D000000}"/>
    <cellStyle name="60% - Accent4" xfId="79" builtinId="44" customBuiltin="1"/>
    <cellStyle name="60% - Accent4 2" xfId="21" xr:uid="{00000000-0005-0000-0000-00001F000000}"/>
    <cellStyle name="60% - Accent5" xfId="83" builtinId="48" customBuiltin="1"/>
    <cellStyle name="60% - Accent5 2" xfId="22" xr:uid="{00000000-0005-0000-0000-000021000000}"/>
    <cellStyle name="60% - Accent6" xfId="87" builtinId="52" customBuiltin="1"/>
    <cellStyle name="60% - Accent6 2" xfId="23" xr:uid="{00000000-0005-0000-0000-000023000000}"/>
    <cellStyle name="Accent1" xfId="64" builtinId="29" customBuiltin="1"/>
    <cellStyle name="Accent1 2" xfId="24" xr:uid="{00000000-0005-0000-0000-000025000000}"/>
    <cellStyle name="Accent2" xfId="68" builtinId="33" customBuiltin="1"/>
    <cellStyle name="Accent2 2" xfId="25" xr:uid="{00000000-0005-0000-0000-000027000000}"/>
    <cellStyle name="Accent3" xfId="72" builtinId="37" customBuiltin="1"/>
    <cellStyle name="Accent3 2" xfId="26" xr:uid="{00000000-0005-0000-0000-000029000000}"/>
    <cellStyle name="Accent4" xfId="76" builtinId="41" customBuiltin="1"/>
    <cellStyle name="Accent4 2" xfId="27" xr:uid="{00000000-0005-0000-0000-00002B000000}"/>
    <cellStyle name="Accent5" xfId="80" builtinId="45" customBuiltin="1"/>
    <cellStyle name="Accent5 2" xfId="28" xr:uid="{00000000-0005-0000-0000-00002D000000}"/>
    <cellStyle name="Accent6" xfId="84" builtinId="49" customBuiltin="1"/>
    <cellStyle name="Accent6 2" xfId="29" xr:uid="{00000000-0005-0000-0000-00002F000000}"/>
    <cellStyle name="Bad" xfId="53" builtinId="27" customBuiltin="1"/>
    <cellStyle name="Bad 2" xfId="30" xr:uid="{00000000-0005-0000-0000-000031000000}"/>
    <cellStyle name="Calculation" xfId="57" builtinId="22" customBuiltin="1"/>
    <cellStyle name="Calculation 2" xfId="31" xr:uid="{00000000-0005-0000-0000-000033000000}"/>
    <cellStyle name="Check Cell" xfId="59" builtinId="23" customBuiltin="1"/>
    <cellStyle name="Check Cell 2" xfId="32" xr:uid="{00000000-0005-0000-0000-000035000000}"/>
    <cellStyle name="Explanatory Text" xfId="62" builtinId="53" customBuiltin="1"/>
    <cellStyle name="Explanatory Text 2" xfId="33" xr:uid="{00000000-0005-0000-0000-000037000000}"/>
    <cellStyle name="Good" xfId="52" builtinId="26" customBuiltin="1"/>
    <cellStyle name="Good 2" xfId="34" xr:uid="{00000000-0005-0000-0000-000039000000}"/>
    <cellStyle name="Heading 1" xfId="48" builtinId="16" customBuiltin="1"/>
    <cellStyle name="Heading 1 2" xfId="35" xr:uid="{00000000-0005-0000-0000-00003B000000}"/>
    <cellStyle name="Heading 2" xfId="49" builtinId="17" customBuiltin="1"/>
    <cellStyle name="Heading 2 2" xfId="36" xr:uid="{00000000-0005-0000-0000-00003D000000}"/>
    <cellStyle name="Heading 3" xfId="50" builtinId="18" customBuiltin="1"/>
    <cellStyle name="Heading 3 2" xfId="37" xr:uid="{00000000-0005-0000-0000-00003F000000}"/>
    <cellStyle name="Heading 4" xfId="51" builtinId="19" customBuiltin="1"/>
    <cellStyle name="Heading 4 2" xfId="38" xr:uid="{00000000-0005-0000-0000-000041000000}"/>
    <cellStyle name="Input" xfId="55" builtinId="20" customBuiltin="1"/>
    <cellStyle name="Input 2" xfId="39" xr:uid="{00000000-0005-0000-0000-000043000000}"/>
    <cellStyle name="Linked Cell" xfId="58" builtinId="24" customBuiltin="1"/>
    <cellStyle name="Linked Cell 2" xfId="40" xr:uid="{00000000-0005-0000-0000-000045000000}"/>
    <cellStyle name="Neutral" xfId="54" builtinId="28" customBuiltin="1"/>
    <cellStyle name="Neutral 2" xfId="41" xr:uid="{00000000-0005-0000-0000-000047000000}"/>
    <cellStyle name="Normal" xfId="0" builtinId="0"/>
    <cellStyle name="Normal 11" xfId="92" xr:uid="{00000000-0005-0000-0000-000049000000}"/>
    <cellStyle name="Normal 2" xfId="1" xr:uid="{00000000-0005-0000-0000-00004A000000}"/>
    <cellStyle name="Normal 2 2" xfId="88" xr:uid="{00000000-0005-0000-0000-00004B000000}"/>
    <cellStyle name="Normal 3" xfId="2" xr:uid="{00000000-0005-0000-0000-00004C000000}"/>
    <cellStyle name="Normal 4" xfId="91" xr:uid="{00000000-0005-0000-0000-00004D000000}"/>
    <cellStyle name="Normal 6" xfId="4" xr:uid="{00000000-0005-0000-0000-00004E000000}"/>
    <cellStyle name="Normal 64" xfId="3" xr:uid="{00000000-0005-0000-0000-00004F000000}"/>
    <cellStyle name="Normal 76" xfId="5" xr:uid="{00000000-0005-0000-0000-000050000000}"/>
    <cellStyle name="Normal 8" xfId="89" xr:uid="{00000000-0005-0000-0000-000051000000}"/>
    <cellStyle name="Note" xfId="61" builtinId="10" customBuiltin="1"/>
    <cellStyle name="Note 2" xfId="42" xr:uid="{00000000-0005-0000-0000-000053000000}"/>
    <cellStyle name="Output" xfId="56" builtinId="21" customBuiltin="1"/>
    <cellStyle name="Output 2" xfId="43" xr:uid="{00000000-0005-0000-0000-000055000000}"/>
    <cellStyle name="Title" xfId="47" builtinId="15" customBuiltin="1"/>
    <cellStyle name="Title 2" xfId="44" xr:uid="{00000000-0005-0000-0000-000057000000}"/>
    <cellStyle name="Title 3" xfId="90" xr:uid="{00000000-0005-0000-0000-000058000000}"/>
    <cellStyle name="Total" xfId="63" builtinId="25" customBuiltin="1"/>
    <cellStyle name="Total 2" xfId="45" xr:uid="{00000000-0005-0000-0000-00005A000000}"/>
    <cellStyle name="Warning Text" xfId="60" builtinId="11" customBuiltin="1"/>
    <cellStyle name="Warning Text 2" xfId="46" xr:uid="{00000000-0005-0000-0000-00005C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"/>
  <sheetViews>
    <sheetView tabSelected="1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P8" sqref="AP8"/>
    </sheetView>
  </sheetViews>
  <sheetFormatPr defaultColWidth="8.6640625" defaultRowHeight="14.4" x14ac:dyDescent="0.3"/>
  <cols>
    <col min="1" max="1" width="19.44140625" style="37" bestFit="1" customWidth="1"/>
    <col min="2" max="2" width="16.109375" style="37" bestFit="1" customWidth="1"/>
    <col min="3" max="3" width="14.6640625" style="37" bestFit="1" customWidth="1"/>
    <col min="4" max="4" width="13.6640625" style="37" customWidth="1"/>
    <col min="5" max="5" width="13.44140625" style="37" bestFit="1" customWidth="1"/>
    <col min="6" max="6" width="10.5546875" style="37" bestFit="1" customWidth="1"/>
    <col min="7" max="7" width="18.33203125" style="37" bestFit="1" customWidth="1"/>
    <col min="8" max="8" width="15" style="37" bestFit="1" customWidth="1"/>
    <col min="9" max="9" width="11" style="37" bestFit="1" customWidth="1"/>
    <col min="10" max="10" width="14.33203125" style="37" bestFit="1" customWidth="1"/>
    <col min="11" max="11" width="20.33203125" style="37" bestFit="1" customWidth="1"/>
    <col min="12" max="12" width="18.5546875" style="37" bestFit="1" customWidth="1"/>
    <col min="13" max="13" width="16" style="37" bestFit="1" customWidth="1"/>
    <col min="14" max="14" width="17.5546875" style="37" bestFit="1" customWidth="1"/>
    <col min="15" max="15" width="15.33203125" style="37" customWidth="1"/>
    <col min="16" max="16" width="13.5546875" style="37" bestFit="1" customWidth="1"/>
    <col min="17" max="17" width="10" style="37" bestFit="1" customWidth="1"/>
    <col min="18" max="18" width="18.109375" style="37" bestFit="1" customWidth="1"/>
    <col min="19" max="19" width="25.6640625" style="37" bestFit="1" customWidth="1"/>
    <col min="20" max="20" width="11.6640625" style="37" bestFit="1" customWidth="1"/>
    <col min="21" max="21" width="8.109375" style="37" bestFit="1" customWidth="1"/>
    <col min="22" max="22" width="13.109375" style="37" bestFit="1" customWidth="1"/>
    <col min="23" max="23" width="27" style="37" bestFit="1" customWidth="1"/>
    <col min="24" max="24" width="17" style="37" customWidth="1"/>
    <col min="25" max="25" width="17.44140625" style="37" bestFit="1" customWidth="1"/>
    <col min="26" max="26" width="17.109375" style="37" bestFit="1" customWidth="1"/>
    <col min="27" max="27" width="18.109375" style="37" customWidth="1"/>
    <col min="28" max="28" width="30.88671875" style="37" bestFit="1" customWidth="1"/>
    <col min="29" max="29" width="18.109375" style="37" bestFit="1" customWidth="1"/>
    <col min="30" max="30" width="15" style="37" bestFit="1" customWidth="1"/>
    <col min="31" max="31" width="11.109375" style="37" customWidth="1"/>
    <col min="32" max="32" width="14.88671875" style="37" customWidth="1"/>
    <col min="33" max="34" width="17.6640625" style="37" customWidth="1"/>
    <col min="35" max="35" width="12.88671875" style="23" bestFit="1" customWidth="1"/>
    <col min="36" max="36" width="7.88671875" style="37" bestFit="1" customWidth="1"/>
    <col min="37" max="37" width="19.88671875" style="23" customWidth="1"/>
    <col min="38" max="38" width="16.88671875" style="23" customWidth="1"/>
    <col min="39" max="39" width="8.6640625" style="23"/>
    <col min="40" max="40" width="27.6640625" style="23" customWidth="1"/>
    <col min="41" max="41" width="26.44140625" style="24" bestFit="1" customWidth="1"/>
    <col min="42" max="42" width="17.44140625" style="24" bestFit="1" customWidth="1"/>
    <col min="43" max="16384" width="8.6640625" style="24"/>
  </cols>
  <sheetData>
    <row r="1" spans="1:42" ht="25.8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 t="s">
        <v>0</v>
      </c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2"/>
    </row>
    <row r="2" spans="1:42" ht="28.8" x14ac:dyDescent="0.3">
      <c r="A2" s="25" t="s">
        <v>1</v>
      </c>
      <c r="B2" s="25" t="s">
        <v>2</v>
      </c>
      <c r="C2" s="25" t="s">
        <v>3</v>
      </c>
      <c r="D2" s="25" t="s">
        <v>4</v>
      </c>
      <c r="E2" s="25" t="s">
        <v>5</v>
      </c>
      <c r="F2" s="25" t="s">
        <v>6</v>
      </c>
      <c r="G2" s="25" t="s">
        <v>7</v>
      </c>
      <c r="H2" s="25" t="s">
        <v>8</v>
      </c>
      <c r="I2" s="25" t="s">
        <v>9</v>
      </c>
      <c r="J2" s="25" t="s">
        <v>10</v>
      </c>
      <c r="K2" s="25" t="s">
        <v>11</v>
      </c>
      <c r="L2" s="25" t="s">
        <v>12</v>
      </c>
      <c r="M2" s="25" t="s">
        <v>13</v>
      </c>
      <c r="N2" s="25" t="s">
        <v>14</v>
      </c>
      <c r="O2" s="25" t="s">
        <v>15</v>
      </c>
      <c r="P2" s="25" t="s">
        <v>16</v>
      </c>
      <c r="Q2" s="25" t="s">
        <v>17</v>
      </c>
      <c r="R2" s="25" t="s">
        <v>18</v>
      </c>
      <c r="S2" s="25" t="s">
        <v>19</v>
      </c>
      <c r="T2" s="25" t="s">
        <v>20</v>
      </c>
      <c r="U2" s="25" t="s">
        <v>21</v>
      </c>
      <c r="V2" s="25" t="s">
        <v>37</v>
      </c>
      <c r="W2" s="25" t="s">
        <v>38</v>
      </c>
      <c r="X2" s="25" t="s">
        <v>39</v>
      </c>
      <c r="Y2" s="25" t="s">
        <v>30</v>
      </c>
      <c r="Z2" s="25" t="s">
        <v>31</v>
      </c>
      <c r="AA2" s="25" t="s">
        <v>32</v>
      </c>
      <c r="AB2" s="25" t="s">
        <v>40</v>
      </c>
      <c r="AC2" s="25" t="s">
        <v>33</v>
      </c>
      <c r="AD2" s="25" t="s">
        <v>22</v>
      </c>
      <c r="AE2" s="25" t="s">
        <v>23</v>
      </c>
      <c r="AF2" s="25" t="s">
        <v>41</v>
      </c>
      <c r="AG2" s="25" t="s">
        <v>24</v>
      </c>
      <c r="AH2" s="25" t="s">
        <v>42</v>
      </c>
      <c r="AI2" s="25" t="s">
        <v>43</v>
      </c>
      <c r="AJ2" s="26" t="s">
        <v>44</v>
      </c>
      <c r="AK2" s="27"/>
      <c r="AO2" s="49" t="s">
        <v>25</v>
      </c>
      <c r="AP2" s="49"/>
    </row>
    <row r="3" spans="1:42" ht="15" customHeight="1" x14ac:dyDescent="0.3">
      <c r="A3" s="37" t="s">
        <v>82</v>
      </c>
      <c r="B3" s="48">
        <v>3151438105</v>
      </c>
      <c r="C3" s="31">
        <v>102083</v>
      </c>
      <c r="D3" s="31">
        <v>102083</v>
      </c>
      <c r="E3" s="37" t="s">
        <v>76</v>
      </c>
      <c r="I3" s="31">
        <v>100023</v>
      </c>
      <c r="J3" s="29" t="s">
        <v>34</v>
      </c>
      <c r="K3" s="29" t="s">
        <v>35</v>
      </c>
      <c r="L3" s="29" t="s">
        <v>26</v>
      </c>
      <c r="M3" s="44">
        <v>45690</v>
      </c>
      <c r="N3" s="38">
        <f t="shared" ref="N3" si="0">M3+2</f>
        <v>45692</v>
      </c>
      <c r="O3" s="18" t="s">
        <v>80</v>
      </c>
      <c r="P3" s="18" t="s">
        <v>77</v>
      </c>
      <c r="Q3" s="31" t="s">
        <v>73</v>
      </c>
      <c r="R3" s="31" t="s">
        <v>77</v>
      </c>
      <c r="S3" s="37" t="s">
        <v>83</v>
      </c>
      <c r="T3" s="37">
        <v>3346</v>
      </c>
      <c r="V3" s="37">
        <v>58261</v>
      </c>
      <c r="Z3" s="37" t="s">
        <v>78</v>
      </c>
      <c r="AC3" s="43" t="s">
        <v>84</v>
      </c>
      <c r="AD3" s="30" t="s">
        <v>36</v>
      </c>
      <c r="AE3" s="45">
        <v>2030</v>
      </c>
      <c r="AF3" s="46"/>
      <c r="AG3" s="47"/>
      <c r="AI3" s="31" t="s">
        <v>79</v>
      </c>
      <c r="AJ3" s="39"/>
      <c r="AK3" s="37"/>
      <c r="AL3" s="28"/>
      <c r="AO3" s="32" t="s">
        <v>27</v>
      </c>
      <c r="AP3" s="33"/>
    </row>
    <row r="4" spans="1:42" ht="15" customHeight="1" x14ac:dyDescent="0.3">
      <c r="A4" s="37" t="s">
        <v>82</v>
      </c>
      <c r="B4" s="48">
        <v>3151438105</v>
      </c>
      <c r="C4" s="31">
        <v>102083</v>
      </c>
      <c r="D4" s="31">
        <v>102083</v>
      </c>
      <c r="E4" s="37" t="s">
        <v>76</v>
      </c>
      <c r="I4" s="31">
        <v>100023</v>
      </c>
      <c r="J4" s="29" t="s">
        <v>34</v>
      </c>
      <c r="K4" s="29" t="s">
        <v>35</v>
      </c>
      <c r="L4" s="29" t="s">
        <v>26</v>
      </c>
      <c r="M4" s="44">
        <v>45690</v>
      </c>
      <c r="N4" s="38">
        <f t="shared" ref="N4:N6" si="1">M4+2</f>
        <v>45692</v>
      </c>
      <c r="O4" s="18" t="s">
        <v>80</v>
      </c>
      <c r="P4" s="18" t="s">
        <v>77</v>
      </c>
      <c r="Q4" s="31" t="s">
        <v>73</v>
      </c>
      <c r="R4" s="31" t="s">
        <v>77</v>
      </c>
      <c r="S4" s="37" t="s">
        <v>83</v>
      </c>
      <c r="T4" s="37">
        <v>2546</v>
      </c>
      <c r="V4" s="37">
        <v>58340</v>
      </c>
      <c r="Z4" s="37" t="s">
        <v>78</v>
      </c>
      <c r="AC4" s="42" t="s">
        <v>85</v>
      </c>
      <c r="AD4" s="30" t="s">
        <v>36</v>
      </c>
      <c r="AE4" s="45">
        <v>2030</v>
      </c>
      <c r="AF4" s="46"/>
      <c r="AG4" s="47"/>
      <c r="AI4" s="31" t="s">
        <v>79</v>
      </c>
      <c r="AJ4" s="39"/>
      <c r="AK4" s="37"/>
      <c r="AL4" s="28"/>
      <c r="AO4" s="34" t="s">
        <v>12</v>
      </c>
      <c r="AP4" s="35" t="s">
        <v>81</v>
      </c>
    </row>
    <row r="5" spans="1:42" ht="15" customHeight="1" x14ac:dyDescent="0.3">
      <c r="A5" s="37" t="s">
        <v>82</v>
      </c>
      <c r="B5" s="48">
        <v>3151438105</v>
      </c>
      <c r="C5" s="31">
        <v>102083</v>
      </c>
      <c r="D5" s="31">
        <v>102083</v>
      </c>
      <c r="E5" s="37" t="s">
        <v>76</v>
      </c>
      <c r="I5" s="31">
        <v>100023</v>
      </c>
      <c r="J5" s="29" t="s">
        <v>34</v>
      </c>
      <c r="K5" s="29" t="s">
        <v>35</v>
      </c>
      <c r="L5" s="29" t="s">
        <v>26</v>
      </c>
      <c r="M5" s="44">
        <v>45690</v>
      </c>
      <c r="N5" s="38">
        <f t="shared" si="1"/>
        <v>45692</v>
      </c>
      <c r="O5" s="18" t="s">
        <v>80</v>
      </c>
      <c r="P5" s="18" t="s">
        <v>77</v>
      </c>
      <c r="Q5" s="31" t="s">
        <v>73</v>
      </c>
      <c r="R5" s="31" t="s">
        <v>77</v>
      </c>
      <c r="S5" s="37" t="s">
        <v>83</v>
      </c>
      <c r="T5" s="37">
        <v>3346</v>
      </c>
      <c r="V5" s="37">
        <v>58288</v>
      </c>
      <c r="Z5" s="37" t="s">
        <v>78</v>
      </c>
      <c r="AC5" s="42" t="s">
        <v>86</v>
      </c>
      <c r="AD5" s="30" t="s">
        <v>36</v>
      </c>
      <c r="AE5" s="45">
        <v>2030</v>
      </c>
      <c r="AF5" s="46"/>
      <c r="AG5" s="47"/>
      <c r="AI5" s="31" t="s">
        <v>79</v>
      </c>
      <c r="AJ5" s="39"/>
      <c r="AK5" s="37"/>
      <c r="AL5" s="28"/>
      <c r="AO5" s="34" t="s">
        <v>28</v>
      </c>
      <c r="AP5" s="35">
        <v>2200</v>
      </c>
    </row>
    <row r="6" spans="1:42" ht="15" customHeight="1" x14ac:dyDescent="0.3">
      <c r="A6" s="37" t="s">
        <v>82</v>
      </c>
      <c r="B6" s="48">
        <v>3151438105</v>
      </c>
      <c r="C6" s="31">
        <v>102083</v>
      </c>
      <c r="D6" s="31">
        <v>102083</v>
      </c>
      <c r="E6" s="37" t="s">
        <v>76</v>
      </c>
      <c r="I6" s="31">
        <v>100023</v>
      </c>
      <c r="J6" s="29" t="s">
        <v>34</v>
      </c>
      <c r="K6" s="29" t="s">
        <v>35</v>
      </c>
      <c r="L6" s="29" t="s">
        <v>26</v>
      </c>
      <c r="M6" s="44">
        <v>45690</v>
      </c>
      <c r="N6" s="38">
        <f t="shared" si="1"/>
        <v>45692</v>
      </c>
      <c r="O6" s="18" t="s">
        <v>80</v>
      </c>
      <c r="P6" s="18" t="s">
        <v>77</v>
      </c>
      <c r="Q6" s="31" t="s">
        <v>73</v>
      </c>
      <c r="R6" s="31" t="s">
        <v>77</v>
      </c>
      <c r="S6" s="37" t="s">
        <v>83</v>
      </c>
      <c r="T6" s="37">
        <v>3346</v>
      </c>
      <c r="V6" s="37">
        <v>58339</v>
      </c>
      <c r="Z6" s="37" t="s">
        <v>78</v>
      </c>
      <c r="AC6" s="42" t="s">
        <v>87</v>
      </c>
      <c r="AD6" s="30" t="s">
        <v>36</v>
      </c>
      <c r="AE6" s="45">
        <v>2030</v>
      </c>
      <c r="AF6" s="46"/>
      <c r="AG6" s="47"/>
      <c r="AI6" s="31" t="s">
        <v>79</v>
      </c>
      <c r="AK6" s="37"/>
      <c r="AL6" s="40"/>
      <c r="AO6" s="41" t="s">
        <v>29</v>
      </c>
      <c r="AP6" s="23">
        <v>10</v>
      </c>
    </row>
    <row r="7" spans="1:42" x14ac:dyDescent="0.3">
      <c r="AP7" s="24" t="s">
        <v>88</v>
      </c>
    </row>
  </sheetData>
  <autoFilter ref="A1:AJ6" xr:uid="{00000000-0009-0000-0000-000000000000}"/>
  <sortState xmlns:xlrd2="http://schemas.microsoft.com/office/spreadsheetml/2017/richdata2" ref="A3:AG6">
    <sortCondition sortBy="icon" ref="A5"/>
  </sortState>
  <mergeCells count="1">
    <mergeCell ref="AO2:AP2"/>
  </mergeCells>
  <conditionalFormatting sqref="AF3">
    <cfRule type="duplicateValues" dxfId="1" priority="22"/>
  </conditionalFormatting>
  <conditionalFormatting sqref="AF4:AF6">
    <cfRule type="duplicateValues" dxfId="0" priority="23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K19"/>
  <sheetViews>
    <sheetView workbookViewId="0">
      <selection activeCell="F22" sqref="F22"/>
    </sheetView>
  </sheetViews>
  <sheetFormatPr defaultColWidth="9.109375" defaultRowHeight="14.4" x14ac:dyDescent="0.3"/>
  <cols>
    <col min="1" max="1" width="8" bestFit="1" customWidth="1"/>
    <col min="2" max="2" width="16.5546875" bestFit="1" customWidth="1"/>
    <col min="3" max="3" width="14.33203125" bestFit="1" customWidth="1"/>
    <col min="4" max="4" width="16.33203125" bestFit="1" customWidth="1"/>
    <col min="5" max="5" width="13.5546875" bestFit="1" customWidth="1"/>
    <col min="6" max="6" width="28.88671875" bestFit="1" customWidth="1"/>
    <col min="7" max="7" width="7.33203125" bestFit="1" customWidth="1"/>
    <col min="8" max="8" width="10.5546875" bestFit="1" customWidth="1"/>
    <col min="9" max="9" width="9.6640625" bestFit="1" customWidth="1"/>
    <col min="10" max="10" width="9" bestFit="1" customWidth="1"/>
    <col min="11" max="11" width="17.6640625" bestFit="1" customWidth="1"/>
  </cols>
  <sheetData>
    <row r="2" spans="1:11" x14ac:dyDescent="0.3">
      <c r="A2" s="50" t="s">
        <v>52</v>
      </c>
      <c r="B2" s="50" t="s">
        <v>53</v>
      </c>
      <c r="C2" s="50" t="s">
        <v>2</v>
      </c>
      <c r="D2" s="50" t="s">
        <v>54</v>
      </c>
      <c r="E2" s="50" t="s">
        <v>55</v>
      </c>
      <c r="F2" s="50" t="s">
        <v>45</v>
      </c>
      <c r="G2" s="50" t="s">
        <v>56</v>
      </c>
      <c r="H2" s="50" t="s">
        <v>57</v>
      </c>
      <c r="I2" s="50" t="s">
        <v>58</v>
      </c>
      <c r="J2" s="1" t="s">
        <v>59</v>
      </c>
      <c r="K2" s="51" t="s">
        <v>61</v>
      </c>
    </row>
    <row r="3" spans="1:11" x14ac:dyDescent="0.3">
      <c r="A3" s="50"/>
      <c r="B3" s="50"/>
      <c r="C3" s="50"/>
      <c r="D3" s="50"/>
      <c r="E3" s="50"/>
      <c r="F3" s="50"/>
      <c r="G3" s="50"/>
      <c r="H3" s="50"/>
      <c r="I3" s="50"/>
      <c r="J3" s="1" t="s">
        <v>60</v>
      </c>
      <c r="K3" s="51"/>
    </row>
    <row r="4" spans="1:11" x14ac:dyDescent="0.3">
      <c r="A4" s="2" t="s">
        <v>48</v>
      </c>
      <c r="B4" s="3">
        <v>45397</v>
      </c>
      <c r="C4" s="6">
        <v>3151435228</v>
      </c>
      <c r="D4" s="3">
        <v>45397</v>
      </c>
      <c r="E4" s="7" t="s">
        <v>46</v>
      </c>
      <c r="F4" s="2" t="s">
        <v>49</v>
      </c>
      <c r="G4" s="8">
        <v>1560</v>
      </c>
      <c r="H4" s="9">
        <v>10748.4</v>
      </c>
      <c r="I4" s="4">
        <v>45636</v>
      </c>
      <c r="J4" s="5" t="s">
        <v>50</v>
      </c>
      <c r="K4" s="5" t="s">
        <v>66</v>
      </c>
    </row>
    <row r="5" spans="1:11" x14ac:dyDescent="0.3">
      <c r="A5" s="2" t="s">
        <v>48</v>
      </c>
      <c r="B5" s="3">
        <v>45397</v>
      </c>
      <c r="C5" s="6">
        <v>3151435235</v>
      </c>
      <c r="D5" s="3">
        <v>45397</v>
      </c>
      <c r="E5" s="7" t="s">
        <v>47</v>
      </c>
      <c r="F5" s="2" t="s">
        <v>49</v>
      </c>
      <c r="G5" s="8">
        <v>1560</v>
      </c>
      <c r="H5" s="9">
        <v>10748.4</v>
      </c>
      <c r="I5" s="4">
        <v>45545</v>
      </c>
      <c r="J5" s="5" t="s">
        <v>51</v>
      </c>
      <c r="K5" s="5" t="s">
        <v>66</v>
      </c>
    </row>
    <row r="6" spans="1:11" x14ac:dyDescent="0.3">
      <c r="A6" s="2" t="s">
        <v>63</v>
      </c>
      <c r="B6" s="3">
        <v>45314</v>
      </c>
      <c r="C6" s="10">
        <v>3151434158</v>
      </c>
      <c r="D6" s="3">
        <v>45314</v>
      </c>
      <c r="E6" s="11" t="s">
        <v>62</v>
      </c>
      <c r="F6" s="2" t="s">
        <v>49</v>
      </c>
      <c r="G6" s="8">
        <v>900</v>
      </c>
      <c r="H6" s="9">
        <v>6201</v>
      </c>
      <c r="I6" s="4">
        <v>45451</v>
      </c>
      <c r="J6" s="5" t="s">
        <v>64</v>
      </c>
      <c r="K6" s="5" t="s">
        <v>65</v>
      </c>
    </row>
    <row r="7" spans="1:11" x14ac:dyDescent="0.3">
      <c r="F7" s="1" t="s">
        <v>67</v>
      </c>
      <c r="G7" s="12">
        <f>SUM(G4:G6)</f>
        <v>4020</v>
      </c>
    </row>
    <row r="9" spans="1:11" x14ac:dyDescent="0.3">
      <c r="A9" s="50" t="s">
        <v>52</v>
      </c>
      <c r="B9" s="50" t="s">
        <v>53</v>
      </c>
      <c r="C9" s="50" t="s">
        <v>2</v>
      </c>
      <c r="D9" s="50" t="s">
        <v>54</v>
      </c>
      <c r="E9" s="50" t="s">
        <v>55</v>
      </c>
      <c r="F9" s="50" t="s">
        <v>45</v>
      </c>
      <c r="G9" s="50" t="s">
        <v>56</v>
      </c>
      <c r="H9" s="50" t="s">
        <v>57</v>
      </c>
      <c r="I9" s="50" t="s">
        <v>58</v>
      </c>
      <c r="J9" s="1" t="s">
        <v>59</v>
      </c>
      <c r="K9" s="51" t="s">
        <v>61</v>
      </c>
    </row>
    <row r="10" spans="1:11" x14ac:dyDescent="0.3">
      <c r="A10" s="50"/>
      <c r="B10" s="50"/>
      <c r="C10" s="50"/>
      <c r="D10" s="50"/>
      <c r="E10" s="50"/>
      <c r="F10" s="50"/>
      <c r="G10" s="50"/>
      <c r="H10" s="50"/>
      <c r="I10" s="50"/>
      <c r="J10" s="1" t="s">
        <v>60</v>
      </c>
      <c r="K10" s="51"/>
    </row>
    <row r="11" spans="1:11" x14ac:dyDescent="0.3">
      <c r="A11" s="13" t="s">
        <v>48</v>
      </c>
      <c r="B11" s="14">
        <v>45406</v>
      </c>
      <c r="C11" s="13">
        <v>3151435367</v>
      </c>
      <c r="D11" s="14">
        <v>45406</v>
      </c>
      <c r="E11" s="13" t="s">
        <v>68</v>
      </c>
      <c r="F11" s="19" t="s">
        <v>49</v>
      </c>
      <c r="G11" s="15">
        <v>900</v>
      </c>
      <c r="H11" s="16">
        <v>10748.4</v>
      </c>
      <c r="I11" s="17">
        <v>45498</v>
      </c>
      <c r="J11" s="18" t="s">
        <v>69</v>
      </c>
      <c r="K11" s="18" t="s">
        <v>36</v>
      </c>
    </row>
    <row r="13" spans="1:11" x14ac:dyDescent="0.3">
      <c r="A13" s="50" t="s">
        <v>52</v>
      </c>
      <c r="B13" s="50" t="s">
        <v>53</v>
      </c>
      <c r="C13" s="50" t="s">
        <v>2</v>
      </c>
      <c r="D13" s="50" t="s">
        <v>54</v>
      </c>
      <c r="E13" s="50" t="s">
        <v>55</v>
      </c>
      <c r="F13" s="50" t="s">
        <v>45</v>
      </c>
      <c r="G13" s="50" t="s">
        <v>56</v>
      </c>
      <c r="H13" s="50" t="s">
        <v>57</v>
      </c>
      <c r="I13" s="50" t="s">
        <v>58</v>
      </c>
      <c r="J13" s="1" t="s">
        <v>59</v>
      </c>
      <c r="K13" s="51" t="s">
        <v>61</v>
      </c>
    </row>
    <row r="14" spans="1:11" x14ac:dyDescent="0.3">
      <c r="A14" s="50"/>
      <c r="B14" s="50"/>
      <c r="C14" s="50"/>
      <c r="D14" s="50"/>
      <c r="E14" s="50"/>
      <c r="F14" s="50"/>
      <c r="G14" s="50"/>
      <c r="H14" s="50"/>
      <c r="I14" s="50"/>
      <c r="J14" s="1" t="s">
        <v>60</v>
      </c>
      <c r="K14" s="51"/>
    </row>
    <row r="15" spans="1:11" x14ac:dyDescent="0.3">
      <c r="A15" s="13" t="s">
        <v>48</v>
      </c>
      <c r="B15" s="14">
        <v>45408</v>
      </c>
      <c r="C15" s="20">
        <v>3151435457</v>
      </c>
      <c r="D15" s="14">
        <v>45408</v>
      </c>
      <c r="E15" s="18" t="s">
        <v>70</v>
      </c>
      <c r="F15" s="18" t="s">
        <v>71</v>
      </c>
      <c r="G15" s="12">
        <v>1800</v>
      </c>
      <c r="H15" s="18" t="s">
        <v>72</v>
      </c>
      <c r="I15" s="17">
        <v>45501</v>
      </c>
      <c r="J15" s="18" t="s">
        <v>69</v>
      </c>
      <c r="K15" s="18" t="s">
        <v>36</v>
      </c>
    </row>
    <row r="17" spans="1:11" x14ac:dyDescent="0.3">
      <c r="A17" s="50" t="s">
        <v>52</v>
      </c>
      <c r="B17" s="50" t="s">
        <v>53</v>
      </c>
      <c r="C17" s="50" t="s">
        <v>2</v>
      </c>
      <c r="D17" s="50" t="s">
        <v>54</v>
      </c>
      <c r="E17" s="50" t="s">
        <v>55</v>
      </c>
      <c r="F17" s="50" t="s">
        <v>45</v>
      </c>
      <c r="G17" s="50" t="s">
        <v>56</v>
      </c>
      <c r="H17" s="50" t="s">
        <v>57</v>
      </c>
      <c r="I17" s="50" t="s">
        <v>58</v>
      </c>
      <c r="J17" s="1" t="s">
        <v>59</v>
      </c>
      <c r="K17" s="51" t="s">
        <v>61</v>
      </c>
    </row>
    <row r="18" spans="1:11" x14ac:dyDescent="0.3">
      <c r="A18" s="50"/>
      <c r="B18" s="50"/>
      <c r="C18" s="50"/>
      <c r="D18" s="50"/>
      <c r="E18" s="50"/>
      <c r="F18" s="50"/>
      <c r="G18" s="50"/>
      <c r="H18" s="50"/>
      <c r="I18" s="50"/>
      <c r="J18" s="1" t="s">
        <v>60</v>
      </c>
      <c r="K18" s="51"/>
    </row>
    <row r="19" spans="1:11" x14ac:dyDescent="0.3">
      <c r="A19" s="13" t="s">
        <v>48</v>
      </c>
      <c r="B19" s="14">
        <v>45486</v>
      </c>
      <c r="C19" s="20">
        <v>3151436633</v>
      </c>
      <c r="D19" s="14">
        <v>45471</v>
      </c>
      <c r="E19" t="s">
        <v>74</v>
      </c>
      <c r="F19" s="18" t="s">
        <v>71</v>
      </c>
      <c r="G19" s="12">
        <v>710.73</v>
      </c>
      <c r="H19" s="36" t="s">
        <v>75</v>
      </c>
      <c r="I19" s="17">
        <v>45493</v>
      </c>
      <c r="J19" s="18" t="s">
        <v>51</v>
      </c>
      <c r="K19" s="18"/>
    </row>
  </sheetData>
  <mergeCells count="40">
    <mergeCell ref="F9:F10"/>
    <mergeCell ref="G9:G10"/>
    <mergeCell ref="H9:H10"/>
    <mergeCell ref="I9:I10"/>
    <mergeCell ref="K9:K10"/>
    <mergeCell ref="A9:A10"/>
    <mergeCell ref="B9:B10"/>
    <mergeCell ref="C9:C10"/>
    <mergeCell ref="D9:D10"/>
    <mergeCell ref="E9:E10"/>
    <mergeCell ref="G2:G3"/>
    <mergeCell ref="H2:H3"/>
    <mergeCell ref="I2:I3"/>
    <mergeCell ref="K2:K3"/>
    <mergeCell ref="A2:A3"/>
    <mergeCell ref="B2:B3"/>
    <mergeCell ref="C2:C3"/>
    <mergeCell ref="D2:D3"/>
    <mergeCell ref="E2:E3"/>
    <mergeCell ref="F2:F3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K13:K14"/>
    <mergeCell ref="A17:A18"/>
    <mergeCell ref="B17:B18"/>
    <mergeCell ref="C17:C18"/>
    <mergeCell ref="D17:D18"/>
    <mergeCell ref="E17:E18"/>
    <mergeCell ref="F17:F18"/>
    <mergeCell ref="G17:G18"/>
    <mergeCell ref="H17:H18"/>
    <mergeCell ref="I17:I18"/>
    <mergeCell ref="K17:K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 CREATION SHEET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Chetan Patel</dc:creator>
  <cp:keywords/>
  <dc:description/>
  <cp:lastModifiedBy>Ajay Kanki</cp:lastModifiedBy>
  <cp:revision/>
  <dcterms:created xsi:type="dcterms:W3CDTF">2018-06-25T05:04:10Z</dcterms:created>
  <dcterms:modified xsi:type="dcterms:W3CDTF">2025-02-28T11:22:58Z</dcterms:modified>
  <cp:category/>
  <cp:contentStatus/>
</cp:coreProperties>
</file>