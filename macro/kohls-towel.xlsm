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nx\Downloads\"/>
    </mc:Choice>
  </mc:AlternateContent>
  <xr:revisionPtr revIDLastSave="0" documentId="13_ncr:1_{A348162E-019D-4DA6-B44C-9ABFBB69CBCB}" xr6:coauthVersionLast="47" xr6:coauthVersionMax="47" xr10:uidLastSave="{00000000-0000-0000-0000-000000000000}"/>
  <bookViews>
    <workbookView xWindow="-108" yWindow="-108" windowWidth="30936" windowHeight="16776" xr2:uid="{00000000-000D-0000-FFFF-FFFF00000000}"/>
  </bookViews>
  <sheets>
    <sheet name="SO CREATION SHEET" sheetId="1" r:id="rId1"/>
    <sheet name="Sheet8" sheetId="2" r:id="rId2"/>
    <sheet name="Sheet5" sheetId="3" r:id="rId3"/>
    <sheet name="Sheet7" sheetId="4" r:id="rId4"/>
    <sheet name="Sheet4" sheetId="5" r:id="rId5"/>
    <sheet name="Sheet1" sheetId="6" r:id="rId6"/>
    <sheet name="Sheet3" sheetId="7" r:id="rId7"/>
    <sheet name="Sheet6" sheetId="8" r:id="rId8"/>
    <sheet name="Sheet2" sheetId="9" r:id="rId9"/>
  </sheets>
  <externalReferences>
    <externalReference r:id="rId10"/>
    <externalReference r:id="rId11"/>
    <externalReference r:id="rId12"/>
  </externalReferences>
  <definedNames>
    <definedName name="_xlnm._FilterDatabase" localSheetId="8" hidden="1">Sheet2!$A$3:$K$3</definedName>
    <definedName name="_xlnm._FilterDatabase" localSheetId="4" hidden="1">Sheet4!$F$1:$H$39</definedName>
    <definedName name="_xlnm._FilterDatabase" localSheetId="2" hidden="1">Sheet5!$A$1:$M$184</definedName>
    <definedName name="_xlnm._FilterDatabase" localSheetId="3" hidden="1">Sheet7!$A$2:$N$30</definedName>
    <definedName name="_xlnm._FilterDatabase" localSheetId="0" hidden="1">'SO CREATION SHEET'!$A$2:$AP$2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3" i="9" l="1"/>
  <c r="K22" i="9"/>
  <c r="K21" i="9"/>
  <c r="K20" i="9"/>
  <c r="K19" i="9"/>
  <c r="K18" i="9"/>
  <c r="K17" i="9"/>
  <c r="K16" i="9"/>
  <c r="K15" i="9"/>
  <c r="K14" i="9"/>
  <c r="K13" i="9"/>
  <c r="K12" i="9"/>
  <c r="K11" i="9"/>
  <c r="K10" i="9"/>
  <c r="K9" i="9"/>
  <c r="K8" i="9"/>
  <c r="K7" i="9"/>
  <c r="K6" i="9"/>
  <c r="K5" i="9"/>
  <c r="K4" i="9"/>
  <c r="H37" i="8"/>
  <c r="H36" i="8"/>
  <c r="H35" i="8"/>
  <c r="H34" i="8"/>
  <c r="H33" i="8"/>
  <c r="H32" i="8"/>
  <c r="H31" i="8"/>
  <c r="H30" i="8"/>
  <c r="I12" i="8"/>
  <c r="I11" i="8"/>
  <c r="I10" i="8"/>
  <c r="I9" i="8"/>
  <c r="I8" i="8"/>
  <c r="J39" i="5"/>
  <c r="H39" i="5"/>
  <c r="J38" i="5"/>
  <c r="H38" i="5"/>
  <c r="J37" i="5"/>
  <c r="J36" i="5"/>
  <c r="J35" i="5"/>
  <c r="H35" i="5"/>
  <c r="J34" i="5"/>
  <c r="H34" i="5"/>
  <c r="J33" i="5"/>
  <c r="H33" i="5"/>
  <c r="J32" i="5"/>
  <c r="H32" i="5"/>
  <c r="J31" i="5"/>
  <c r="H31" i="5"/>
  <c r="J30" i="5"/>
  <c r="H30" i="5"/>
  <c r="J29" i="5"/>
  <c r="H29" i="5"/>
  <c r="J28" i="5"/>
  <c r="H28" i="5"/>
  <c r="J27" i="5"/>
  <c r="H27" i="5"/>
  <c r="J26" i="5"/>
  <c r="J25" i="5"/>
  <c r="J24" i="5"/>
  <c r="J23" i="5"/>
  <c r="H23" i="5"/>
  <c r="J22" i="5"/>
  <c r="H22" i="5"/>
  <c r="J21" i="5"/>
  <c r="H21" i="5"/>
  <c r="J20" i="5"/>
  <c r="H20" i="5"/>
  <c r="J19" i="5"/>
  <c r="H19" i="5"/>
  <c r="J18" i="5"/>
  <c r="H18" i="5"/>
  <c r="J17" i="5"/>
  <c r="H17" i="5"/>
  <c r="J16" i="5"/>
  <c r="H16" i="5"/>
  <c r="J15" i="5"/>
  <c r="H15" i="5"/>
  <c r="J14" i="5"/>
  <c r="H14" i="5"/>
  <c r="J13" i="5"/>
  <c r="H13" i="5"/>
  <c r="J12" i="5"/>
  <c r="H12" i="5"/>
  <c r="J11" i="5"/>
  <c r="H11" i="5"/>
  <c r="J10" i="5"/>
  <c r="H10" i="5"/>
  <c r="J9" i="5"/>
  <c r="H9" i="5"/>
  <c r="J8" i="5"/>
  <c r="J7" i="5"/>
  <c r="J6" i="5"/>
  <c r="J5" i="5"/>
  <c r="J4" i="5"/>
  <c r="H4" i="5"/>
  <c r="J3" i="5"/>
  <c r="H3" i="5"/>
  <c r="J2" i="5"/>
  <c r="H2" i="5"/>
  <c r="C184" i="3"/>
  <c r="C183" i="3"/>
  <c r="C182" i="3"/>
  <c r="C181" i="3"/>
  <c r="C180" i="3"/>
  <c r="C179" i="3"/>
  <c r="C178" i="3"/>
  <c r="C177" i="3"/>
  <c r="C176" i="3"/>
  <c r="C175" i="3"/>
  <c r="C174" i="3"/>
  <c r="C173" i="3"/>
  <c r="C172" i="3"/>
  <c r="C171" i="3"/>
  <c r="C170" i="3"/>
  <c r="C169" i="3"/>
  <c r="C168" i="3"/>
  <c r="C167" i="3"/>
  <c r="C166" i="3"/>
  <c r="C165" i="3"/>
  <c r="C164" i="3"/>
  <c r="C163" i="3"/>
  <c r="C162" i="3"/>
  <c r="C161" i="3"/>
  <c r="C160" i="3"/>
  <c r="C159" i="3"/>
  <c r="C158" i="3"/>
  <c r="C157" i="3"/>
  <c r="C156" i="3"/>
  <c r="C155" i="3"/>
  <c r="C154" i="3"/>
  <c r="C153" i="3"/>
  <c r="C152" i="3"/>
  <c r="C151" i="3"/>
  <c r="C150" i="3"/>
  <c r="C149" i="3"/>
  <c r="C148" i="3"/>
  <c r="C147" i="3"/>
  <c r="C146" i="3"/>
  <c r="C145" i="3"/>
  <c r="C144" i="3"/>
  <c r="C143" i="3"/>
  <c r="C142" i="3"/>
  <c r="C141" i="3"/>
  <c r="C140" i="3"/>
  <c r="C139" i="3"/>
  <c r="C138" i="3"/>
  <c r="C137" i="3"/>
  <c r="C136" i="3"/>
  <c r="C135" i="3"/>
  <c r="C134" i="3"/>
  <c r="C133" i="3"/>
  <c r="C132" i="3"/>
  <c r="C131" i="3"/>
  <c r="C130" i="3"/>
  <c r="C129" i="3"/>
  <c r="C128" i="3"/>
  <c r="C127" i="3"/>
  <c r="C126" i="3"/>
  <c r="C125" i="3"/>
  <c r="C124" i="3"/>
  <c r="C123" i="3"/>
  <c r="C122" i="3"/>
  <c r="C121" i="3"/>
  <c r="C120" i="3"/>
  <c r="C119" i="3"/>
  <c r="C118" i="3"/>
  <c r="C117" i="3"/>
  <c r="C116" i="3"/>
  <c r="C115" i="3"/>
  <c r="C114" i="3"/>
  <c r="C113" i="3"/>
  <c r="C112" i="3"/>
  <c r="C111" i="3"/>
  <c r="C110" i="3"/>
  <c r="C109" i="3"/>
  <c r="C108" i="3"/>
  <c r="C107" i="3"/>
  <c r="C106" i="3"/>
  <c r="C105" i="3"/>
  <c r="C104" i="3"/>
  <c r="C103" i="3"/>
  <c r="C102" i="3"/>
  <c r="C101" i="3"/>
  <c r="C100" i="3"/>
  <c r="C99" i="3"/>
  <c r="C98" i="3"/>
  <c r="C97" i="3"/>
  <c r="C96" i="3"/>
  <c r="C95" i="3"/>
  <c r="C94" i="3"/>
  <c r="C93" i="3"/>
  <c r="C92" i="3"/>
  <c r="C91" i="3"/>
  <c r="C90" i="3"/>
  <c r="C89" i="3"/>
  <c r="C88" i="3"/>
  <c r="C87" i="3"/>
  <c r="C86" i="3"/>
  <c r="C85" i="3"/>
  <c r="C84" i="3"/>
  <c r="C83" i="3"/>
  <c r="C82" i="3"/>
  <c r="C81" i="3"/>
  <c r="C80" i="3"/>
  <c r="C79" i="3"/>
  <c r="C78" i="3"/>
  <c r="C77" i="3"/>
  <c r="C76" i="3"/>
  <c r="C75" i="3"/>
  <c r="C74" i="3"/>
  <c r="C73" i="3"/>
  <c r="C72" i="3"/>
  <c r="C71" i="3"/>
  <c r="C70" i="3"/>
  <c r="C69" i="3"/>
  <c r="C68" i="3"/>
  <c r="C67" i="3"/>
  <c r="C66" i="3"/>
  <c r="C65" i="3"/>
  <c r="C64" i="3"/>
  <c r="C63" i="3"/>
  <c r="C62" i="3"/>
  <c r="C61" i="3"/>
  <c r="C60" i="3"/>
  <c r="C59" i="3"/>
  <c r="C58" i="3"/>
  <c r="C57" i="3"/>
  <c r="C56" i="3"/>
  <c r="C55" i="3"/>
  <c r="C54" i="3"/>
  <c r="C53" i="3"/>
  <c r="C52" i="3"/>
  <c r="C51" i="3"/>
  <c r="C50" i="3"/>
  <c r="C49" i="3"/>
  <c r="C48" i="3"/>
  <c r="C47" i="3"/>
  <c r="C46" i="3"/>
  <c r="C45" i="3"/>
  <c r="C44" i="3"/>
  <c r="C43" i="3"/>
  <c r="C42" i="3"/>
  <c r="C41" i="3"/>
  <c r="C40" i="3"/>
  <c r="C39" i="3"/>
  <c r="C38" i="3"/>
  <c r="C37" i="3"/>
  <c r="C36" i="3"/>
  <c r="C35" i="3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C2" i="3"/>
  <c r="AH3" i="1"/>
  <c r="AE3" i="1"/>
  <c r="O3" i="1" s="1"/>
  <c r="AD3" i="1"/>
  <c r="W3" i="1"/>
  <c r="V3" i="1"/>
  <c r="U3" i="1"/>
  <c r="S3" i="1"/>
</calcChain>
</file>

<file path=xl/sharedStrings.xml><?xml version="1.0" encoding="utf-8"?>
<sst xmlns="http://schemas.openxmlformats.org/spreadsheetml/2006/main" count="1803" uniqueCount="625">
  <si>
    <t>PO#</t>
  </si>
  <si>
    <t>Fast data enTFy</t>
  </si>
  <si>
    <t>PO</t>
  </si>
  <si>
    <t>SO#</t>
  </si>
  <si>
    <t>SOLD TO PARTY</t>
  </si>
  <si>
    <t>SHIP TO PARTY</t>
  </si>
  <si>
    <t>PAYMENT 
TERM</t>
  </si>
  <si>
    <t>INCO
TERMS</t>
  </si>
  <si>
    <t>INCOTERM 2</t>
  </si>
  <si>
    <t>order reason</t>
  </si>
  <si>
    <t>END 
CUSTOMER</t>
  </si>
  <si>
    <t>CHANNEL TYPE</t>
  </si>
  <si>
    <t>SUB 
CHANNEL TYPE</t>
  </si>
  <si>
    <t>ORDER TYPE</t>
  </si>
  <si>
    <t>SHIP START DATE</t>
  </si>
  <si>
    <t>SHIP CANCEL DATE</t>
  </si>
  <si>
    <t>PORT OF SHIPMENT</t>
  </si>
  <si>
    <t>DESTINATION</t>
  </si>
  <si>
    <t xml:space="preserve">COUNTRY </t>
  </si>
  <si>
    <t>PORT OF LOADING</t>
  </si>
  <si>
    <t>MatCode</t>
  </si>
  <si>
    <t>Order Quantity</t>
  </si>
  <si>
    <t>Amount</t>
  </si>
  <si>
    <t>TT Sort No.</t>
  </si>
  <si>
    <t>TT_Shade</t>
  </si>
  <si>
    <t>TT Set type</t>
  </si>
  <si>
    <t>Embroidery 
code-L</t>
  </si>
  <si>
    <t>Sublistatic
 code</t>
  </si>
  <si>
    <t>TT Packing Type
 for S Part</t>
  </si>
  <si>
    <t>TT Packing Type
 for F Part</t>
  </si>
  <si>
    <t>Destination</t>
  </si>
  <si>
    <t>Yarn dyed matching</t>
  </si>
  <si>
    <t>Plant</t>
  </si>
  <si>
    <t>Customer 
material</t>
  </si>
  <si>
    <t>PIS</t>
  </si>
  <si>
    <t>PO AVAILABILITY DATE</t>
  </si>
  <si>
    <t>A/C HOLDER</t>
  </si>
  <si>
    <t>NOTIFY</t>
  </si>
  <si>
    <t>Main Screen</t>
  </si>
  <si>
    <t>na</t>
  </si>
  <si>
    <t>W174</t>
  </si>
  <si>
    <t>ECOM</t>
  </si>
  <si>
    <t>PURE PLAY ECOM</t>
  </si>
  <si>
    <t>REPLENISHMENT</t>
  </si>
  <si>
    <t>NEW YORK</t>
  </si>
  <si>
    <t>USA</t>
  </si>
  <si>
    <t>NA</t>
  </si>
  <si>
    <t>upc Number</t>
  </si>
  <si>
    <t/>
  </si>
  <si>
    <t>RETAIL</t>
  </si>
  <si>
    <t>NIL</t>
  </si>
  <si>
    <t>MUNDRA</t>
  </si>
  <si>
    <t>ZWEO</t>
  </si>
  <si>
    <t>SALES ORGANIZATION</t>
  </si>
  <si>
    <t>JNPT</t>
  </si>
  <si>
    <t>DISTRIBUTION CHANNEL</t>
  </si>
  <si>
    <t>Customer</t>
  </si>
  <si>
    <t>TC / GSM</t>
  </si>
  <si>
    <t>Count Cons.</t>
  </si>
  <si>
    <t>Weave</t>
  </si>
  <si>
    <t>Type of order</t>
  </si>
  <si>
    <t>If Replenishment</t>
  </si>
  <si>
    <t> Order Qty</t>
  </si>
  <si>
    <t>120" width</t>
  </si>
  <si>
    <t>PO Confirmation Received from customer - Yes/No</t>
  </si>
  <si>
    <t>Expected PO receipt date</t>
  </si>
  <si>
    <t>SHIP DATE</t>
  </si>
  <si>
    <t>Reco</t>
  </si>
  <si>
    <t>Reason for GSO generation</t>
  </si>
  <si>
    <t>Remarks</t>
  </si>
  <si>
    <t>Vardinon Summer Cool</t>
  </si>
  <si>
    <t>200TC</t>
  </si>
  <si>
    <t>40X40, 112X80/1</t>
  </si>
  <si>
    <t>Percale</t>
  </si>
  <si>
    <t>Roll out</t>
  </si>
  <si>
    <t>-</t>
  </si>
  <si>
    <t>yes</t>
  </si>
  <si>
    <t>Received</t>
  </si>
  <si>
    <t>TBC</t>
  </si>
  <si>
    <t>In order to avoid delay in production</t>
  </si>
  <si>
    <t>Welsoft </t>
  </si>
  <si>
    <t>ITEMCODE</t>
  </si>
  <si>
    <t>DESC</t>
  </si>
  <si>
    <t>AW23 DESCRI[TOI</t>
  </si>
  <si>
    <t>MATCODE</t>
  </si>
  <si>
    <t>SORT</t>
  </si>
  <si>
    <t>SHADE</t>
  </si>
  <si>
    <t>UH MS HT 90x50 STL</t>
  </si>
  <si>
    <t>TFAG517ZH3P</t>
  </si>
  <si>
    <t>FVTSD0666</t>
  </si>
  <si>
    <t>UH MS HT 90x50 PPf</t>
  </si>
  <si>
    <t>FVTBP0395</t>
  </si>
  <si>
    <t>UH MS HT 90x50 olve</t>
  </si>
  <si>
    <t>FVTGL0654</t>
  </si>
  <si>
    <t>UH MS HT 90x50 pp</t>
  </si>
  <si>
    <t>FVTRP0514</t>
  </si>
  <si>
    <t>UH MS HT 90x50 latt</t>
  </si>
  <si>
    <t>FVTKL0790</t>
  </si>
  <si>
    <t>UH MS HT 90x50 Pacf</t>
  </si>
  <si>
    <t>FVTBL0620</t>
  </si>
  <si>
    <t>UH MS HT 90x50 W</t>
  </si>
  <si>
    <t>FVTWZ0004</t>
  </si>
  <si>
    <t>UH MS HT 90x50 navy</t>
  </si>
  <si>
    <t>FVTNE0080</t>
  </si>
  <si>
    <t>UH MS HT 90x50 oyt</t>
  </si>
  <si>
    <t>FVTYP0487</t>
  </si>
  <si>
    <t>UH MS HT 90x50 clv</t>
  </si>
  <si>
    <t>FVTPL0250</t>
  </si>
  <si>
    <t>UH MS BT 135x70 PPf</t>
  </si>
  <si>
    <t>TFAG517ZB1P</t>
  </si>
  <si>
    <t>UH MS BT 135x70 olve</t>
  </si>
  <si>
    <t>UH MS BT 135x70 pp</t>
  </si>
  <si>
    <t>UH MS BT 135x70 latt</t>
  </si>
  <si>
    <t>UH MS BT 135x70 Pacf</t>
  </si>
  <si>
    <t>UH MS BT 135x70 W</t>
  </si>
  <si>
    <t>UH MS BT 135x70 nvy</t>
  </si>
  <si>
    <t>UH MS BT 135x70 oyt</t>
  </si>
  <si>
    <t>UH MS BS 160x90 PPf</t>
  </si>
  <si>
    <t>TFAG517ZS5P</t>
  </si>
  <si>
    <t>UH MS BS 160x90 olve</t>
  </si>
  <si>
    <t>UH MS BS 160x90 pp</t>
  </si>
  <si>
    <t>UH MS BS 160x90 Paf</t>
  </si>
  <si>
    <t>UH MS BS 160x90 W</t>
  </si>
  <si>
    <t>UH MS BS 160x90 nvy</t>
  </si>
  <si>
    <t>UH MS BS 160x90 oyt</t>
  </si>
  <si>
    <t>UH MS BS 160x90 clv</t>
  </si>
  <si>
    <t>UH MS XLBS 180x100 D</t>
  </si>
  <si>
    <t>TFAG517ZS4P</t>
  </si>
  <si>
    <t>UH MS 30x30 FCx2 olv</t>
  </si>
  <si>
    <t>TFAG517ZW2P</t>
  </si>
  <si>
    <t>UH MS 30x30 FCx2 clv</t>
  </si>
  <si>
    <t>UH MS 30x30 FCx2 lat</t>
  </si>
  <si>
    <t>UH MS 30x30 FCx2 lin</t>
  </si>
  <si>
    <t>UH MS 30x30 FCx2 nvy</t>
  </si>
  <si>
    <t>UH MS 30x30 FCx2 oyt</t>
  </si>
  <si>
    <t>UH MS 30x30 FCx2 Paf</t>
  </si>
  <si>
    <t>UH MS 30x30 FCx2 PPf</t>
  </si>
  <si>
    <t>UH MS 30x30 FCx2 ppk</t>
  </si>
  <si>
    <t>UH MS 30x30 FCx2 W</t>
  </si>
  <si>
    <t>UH MS BT 135x70 STL</t>
  </si>
  <si>
    <t>UH MS BS 160x90 STL</t>
  </si>
  <si>
    <t>UH MS BT 135x70 clv</t>
  </si>
  <si>
    <t>UH MS BT 135x70 D</t>
  </si>
  <si>
    <t>UH MS BS 160x90 lin</t>
  </si>
  <si>
    <t>UH MS BS 160x90 latt</t>
  </si>
  <si>
    <t>UH MS BS 160x90 D</t>
  </si>
  <si>
    <t>UH MS XLBS 180x100 W</t>
  </si>
  <si>
    <t>UH MS 30x30 FCx2 STL</t>
  </si>
  <si>
    <t>UH MS BT 135x70 lin</t>
  </si>
  <si>
    <t>UH MS 30x30 FCx2 D</t>
  </si>
  <si>
    <t>UH MS HT 90x50 D</t>
  </si>
  <si>
    <t>FVTSM0546</t>
  </si>
  <si>
    <t>Sr No.</t>
  </si>
  <si>
    <t>Buyer</t>
  </si>
  <si>
    <t>Design</t>
  </si>
  <si>
    <t>WUSA PO No.</t>
  </si>
  <si>
    <t>WIL SO</t>
  </si>
  <si>
    <t>SIZE</t>
  </si>
  <si>
    <t>VENDOR UPC</t>
  </si>
  <si>
    <t>Mat Code</t>
  </si>
  <si>
    <t>Qty</t>
  </si>
  <si>
    <t>Load Type</t>
  </si>
  <si>
    <t>QTY</t>
  </si>
  <si>
    <t>CRTN</t>
  </si>
  <si>
    <t>SAMS</t>
  </si>
  <si>
    <t>450 TC</t>
  </si>
  <si>
    <t>King</t>
  </si>
  <si>
    <t>FS0981S450K0H31</t>
  </si>
  <si>
    <t>AFS0981S450K0H31</t>
  </si>
  <si>
    <t>Pallet</t>
  </si>
  <si>
    <t>Calking</t>
  </si>
  <si>
    <t>FS0981S450C0H31</t>
  </si>
  <si>
    <t>AFS0981S450C0H31</t>
  </si>
  <si>
    <t>Queen</t>
  </si>
  <si>
    <t>FS0981S450Q0H32</t>
  </si>
  <si>
    <t>AFS0981S450Q0H32</t>
  </si>
  <si>
    <t>FS0981S450K0H32</t>
  </si>
  <si>
    <t>AFS0981S450K0H32</t>
  </si>
  <si>
    <t>Full</t>
  </si>
  <si>
    <t>FS0981S450F0H32</t>
  </si>
  <si>
    <t>AFS0981S450F0H32</t>
  </si>
  <si>
    <t>FS0981S450Q0H26</t>
  </si>
  <si>
    <t>AFS0981S450Q0H26</t>
  </si>
  <si>
    <t>FS0981S450K0H26</t>
  </si>
  <si>
    <t>AFS0981S450K0H26</t>
  </si>
  <si>
    <t>FS0981S450F0H26</t>
  </si>
  <si>
    <t>FS0981S450Q0H27</t>
  </si>
  <si>
    <t>AFS0981S450Q0H27</t>
  </si>
  <si>
    <t>Twin XL</t>
  </si>
  <si>
    <t>FS0981S450T0H27</t>
  </si>
  <si>
    <t>AFS0981S450T0H27</t>
  </si>
  <si>
    <t>FS0981S450K0H27</t>
  </si>
  <si>
    <t>AFS0981S450K0H27</t>
  </si>
  <si>
    <t>FS0981S450F0H27</t>
  </si>
  <si>
    <t>AFS0981S450F0H27</t>
  </si>
  <si>
    <t>FS0981S450C0H27</t>
  </si>
  <si>
    <t>FS0981S450Q0H25</t>
  </si>
  <si>
    <t>AFS0981S450Q0H25</t>
  </si>
  <si>
    <t>FS0981S450T0H25</t>
  </si>
  <si>
    <t>AFS0981S450T0H25</t>
  </si>
  <si>
    <t>FS0981S450K0H25</t>
  </si>
  <si>
    <t>AFS0981S450K0H25</t>
  </si>
  <si>
    <t>FS0981S450Q0H30</t>
  </si>
  <si>
    <t>AFS0981S450Q0H30</t>
  </si>
  <si>
    <t>FS0981S450T0H30</t>
  </si>
  <si>
    <t>AFS0981S450T0H30</t>
  </si>
  <si>
    <t>FS0981S450F0H30</t>
  </si>
  <si>
    <t>AFS0981S450F0H30</t>
  </si>
  <si>
    <t>FS0981S450Q0H35</t>
  </si>
  <si>
    <t>AFS0981S450Q0H35</t>
  </si>
  <si>
    <t>FS0981S450T0H35</t>
  </si>
  <si>
    <t>AFS0981S450T0H35</t>
  </si>
  <si>
    <t>FS0981S450K0H35</t>
  </si>
  <si>
    <t>AFS0981S450K0H35</t>
  </si>
  <si>
    <t>FS0981S450C0H35</t>
  </si>
  <si>
    <t>AFS0981S450C0H35</t>
  </si>
  <si>
    <t>FS0981S450C0H41</t>
  </si>
  <si>
    <t>AFS0981S450C0H41</t>
  </si>
  <si>
    <t>FS0981S450F0H41</t>
  </si>
  <si>
    <t>AFS0981S450F0H41</t>
  </si>
  <si>
    <t>FS0981S450K0H41</t>
  </si>
  <si>
    <t>AFS0981S450KPH27A</t>
  </si>
  <si>
    <t>FS0981S450Q0H41</t>
  </si>
  <si>
    <t>AFS0981S450Q0H41</t>
  </si>
  <si>
    <t>FS0981S450T0H41</t>
  </si>
  <si>
    <t>AFS0981S450T0H41</t>
  </si>
  <si>
    <t>PLANT 2120</t>
  </si>
  <si>
    <t>PLANT 2220</t>
  </si>
  <si>
    <t>FS0981S450K0H42</t>
  </si>
  <si>
    <t>75   </t>
  </si>
  <si>
    <t>0   </t>
  </si>
  <si>
    <t>FS0981S450Q0H42</t>
  </si>
  <si>
    <t>125   </t>
  </si>
  <si>
    <t>KPC</t>
  </si>
  <si>
    <t>FS0981S450KPH28B</t>
  </si>
  <si>
    <t>1180   </t>
  </si>
  <si>
    <t>FS0981S450KPH34A</t>
  </si>
  <si>
    <t>AFS0981S450KPH34A</t>
  </si>
  <si>
    <t>120   </t>
  </si>
  <si>
    <t>FS0981S450KPH31A</t>
  </si>
  <si>
    <t>AFS0981S450KPH31A</t>
  </si>
  <si>
    <t>80   </t>
  </si>
  <si>
    <t>FS0981S450KPH26A</t>
  </si>
  <si>
    <t>20   </t>
  </si>
  <si>
    <t>FS0981S450KPH27A</t>
  </si>
  <si>
    <t>380   </t>
  </si>
  <si>
    <t>FS0981S450KPH41A</t>
  </si>
  <si>
    <t>AFS0981S450KPH41A</t>
  </si>
  <si>
    <t>160   </t>
  </si>
  <si>
    <t>FS0981S450KPH25A</t>
  </si>
  <si>
    <t>40   </t>
  </si>
  <si>
    <t>SPC</t>
  </si>
  <si>
    <t>FS0981S450GPH28A</t>
  </si>
  <si>
    <t>AFS0981S450GPH28A</t>
  </si>
  <si>
    <t>580   </t>
  </si>
  <si>
    <t>FS0981S450GPH34A</t>
  </si>
  <si>
    <t>AFS0981S450GPH34A</t>
  </si>
  <si>
    <t>480   </t>
  </si>
  <si>
    <t>FS0981S450GPH31A</t>
  </si>
  <si>
    <t>AFS0981S450GPH31A</t>
  </si>
  <si>
    <t>420   </t>
  </si>
  <si>
    <t>FS0981S450GPH27A</t>
  </si>
  <si>
    <t>AFS0981S450GPH27A</t>
  </si>
  <si>
    <t>300   </t>
  </si>
  <si>
    <t>FS0981S450T0H31</t>
  </si>
  <si>
    <t>AFS0981S450T0H31</t>
  </si>
  <si>
    <t>200   </t>
  </si>
  <si>
    <t>26   </t>
  </si>
  <si>
    <t>25   </t>
  </si>
  <si>
    <t>53   </t>
  </si>
  <si>
    <t>8   </t>
  </si>
  <si>
    <t>FS0981S450Q0H40</t>
  </si>
  <si>
    <t>AFS0981S450Q0H40</t>
  </si>
  <si>
    <t>180   </t>
  </si>
  <si>
    <t>FS0981S450Q0H28</t>
  </si>
  <si>
    <t>AFS0981S450Q0H28</t>
  </si>
  <si>
    <t>560   </t>
  </si>
  <si>
    <t>FS0981S450K0H28</t>
  </si>
  <si>
    <t>AFS0981S450K0H28</t>
  </si>
  <si>
    <t>350   </t>
  </si>
  <si>
    <t>FS0981S450F0H28</t>
  </si>
  <si>
    <t>AFS0981S450F0H28</t>
  </si>
  <si>
    <t>270   </t>
  </si>
  <si>
    <t>FS0981S450C0H28</t>
  </si>
  <si>
    <t>AFS0981S450C0H28</t>
  </si>
  <si>
    <t>70   </t>
  </si>
  <si>
    <t>FS0981S450Q0H23</t>
  </si>
  <si>
    <t>AFS0981S450Q0H23</t>
  </si>
  <si>
    <t>FS0981S450T0H23</t>
  </si>
  <si>
    <t>AFS0981S450T0H23</t>
  </si>
  <si>
    <t>100   </t>
  </si>
  <si>
    <t>FS0981S450K0H23</t>
  </si>
  <si>
    <t>AFS0981S450K0H23</t>
  </si>
  <si>
    <t>140   </t>
  </si>
  <si>
    <t>FS0981S450F0H23</t>
  </si>
  <si>
    <t>AFS0981S450F0H23</t>
  </si>
  <si>
    <t>90   </t>
  </si>
  <si>
    <t>FS0981S450Q0H33</t>
  </si>
  <si>
    <t>FS0981S450T0H33</t>
  </si>
  <si>
    <t>AFS0981S450T0H33</t>
  </si>
  <si>
    <t>FS0981S450K0H33</t>
  </si>
  <si>
    <t>AFS0981S450K0H33</t>
  </si>
  <si>
    <t>FS0981S450F0H33</t>
  </si>
  <si>
    <t>AFS0981S450F0H33</t>
  </si>
  <si>
    <t>FS0981S450C0H33</t>
  </si>
  <si>
    <t>AFS0981S450C0H33</t>
  </si>
  <si>
    <t>FS0981S450Q0H34</t>
  </si>
  <si>
    <t>AFS0981S450Q0H34</t>
  </si>
  <si>
    <t>FS0981S450T0H34</t>
  </si>
  <si>
    <t>AFS0981S450T0H34</t>
  </si>
  <si>
    <t>FS0981S450K0H34</t>
  </si>
  <si>
    <t>AFS0981S450K0H34</t>
  </si>
  <si>
    <t>FS0981S450F0H34</t>
  </si>
  <si>
    <t>AFS0981S450F0H34</t>
  </si>
  <si>
    <t>FS0981S450Q0H31</t>
  </si>
  <si>
    <t>AFS0981S450Q0H31</t>
  </si>
  <si>
    <t>FS0981S450F0H31</t>
  </si>
  <si>
    <t>AFS0981S450F0H31</t>
  </si>
  <si>
    <t>FS0981S450T0H32</t>
  </si>
  <si>
    <t>AFS0981S450T0H32</t>
  </si>
  <si>
    <t>13   </t>
  </si>
  <si>
    <t>AFS0981S450F0H26</t>
  </si>
  <si>
    <t>77   </t>
  </si>
  <si>
    <t>FS0981S450F0H35</t>
  </si>
  <si>
    <t>11   </t>
  </si>
  <si>
    <t>AFS0981S450F0H35</t>
  </si>
  <si>
    <t>79   </t>
  </si>
  <si>
    <t>AFS0981S450K0H41</t>
  </si>
  <si>
    <t>FS0981S450T0H26</t>
  </si>
  <si>
    <t>23   </t>
  </si>
  <si>
    <t>1200   </t>
  </si>
  <si>
    <t>FS0981S450T0H28</t>
  </si>
  <si>
    <t>AFS0981S450T0H28</t>
  </si>
  <si>
    <t>700   </t>
  </si>
  <si>
    <t>1190   </t>
  </si>
  <si>
    <t>450   </t>
  </si>
  <si>
    <t>132   </t>
  </si>
  <si>
    <t>1   </t>
  </si>
  <si>
    <t>640   </t>
  </si>
  <si>
    <t>51   </t>
  </si>
  <si>
    <t>249   </t>
  </si>
  <si>
    <t>50   </t>
  </si>
  <si>
    <t>360   </t>
  </si>
  <si>
    <t>FS0981S450C0H23</t>
  </si>
  <si>
    <t>AFS0981S450C0H23</t>
  </si>
  <si>
    <t>311   </t>
  </si>
  <si>
    <t>AFS0981S450Q0H33</t>
  </si>
  <si>
    <t>9   </t>
  </si>
  <si>
    <t>76   </t>
  </si>
  <si>
    <t>24   </t>
  </si>
  <si>
    <t>122   </t>
  </si>
  <si>
    <t>18   </t>
  </si>
  <si>
    <t>45   </t>
  </si>
  <si>
    <t>15   </t>
  </si>
  <si>
    <t>545   </t>
  </si>
  <si>
    <t>19   </t>
  </si>
  <si>
    <t>401   </t>
  </si>
  <si>
    <t>39   </t>
  </si>
  <si>
    <t>FS0981S450C0H34</t>
  </si>
  <si>
    <t>27   </t>
  </si>
  <si>
    <t>AFS0981S450C0H34</t>
  </si>
  <si>
    <t>43   </t>
  </si>
  <si>
    <t>48   </t>
  </si>
  <si>
    <t>432   </t>
  </si>
  <si>
    <t>3   </t>
  </si>
  <si>
    <t>197   </t>
  </si>
  <si>
    <t>172   </t>
  </si>
  <si>
    <t>2861   </t>
  </si>
  <si>
    <t>14985   </t>
  </si>
  <si>
    <t>KDMAT</t>
  </si>
  <si>
    <t>MATCODES</t>
  </si>
  <si>
    <t>DESIGN</t>
  </si>
  <si>
    <t>Packing Type</t>
  </si>
  <si>
    <t>Accra</t>
  </si>
  <si>
    <t>A1</t>
  </si>
  <si>
    <t>Alezaya set</t>
  </si>
  <si>
    <t>Alezaya Single</t>
  </si>
  <si>
    <t>MASTER DATA NOT AVAILABLE</t>
  </si>
  <si>
    <t>Anzio</t>
  </si>
  <si>
    <t>Arrow</t>
  </si>
  <si>
    <t>BATHMATE HOTEL</t>
  </si>
  <si>
    <t>B1</t>
  </si>
  <si>
    <t>BHT - 1/12s 550 GSM</t>
  </si>
  <si>
    <t>BHT - 2/20 580 GSM</t>
  </si>
  <si>
    <t>Blocks</t>
  </si>
  <si>
    <t>Bravo</t>
  </si>
  <si>
    <t>BRAVO ASSORTED</t>
  </si>
  <si>
    <t>Brix</t>
  </si>
  <si>
    <t>Comfy</t>
  </si>
  <si>
    <t>COMFY</t>
  </si>
  <si>
    <t>Cozy</t>
  </si>
  <si>
    <t>COZY White</t>
  </si>
  <si>
    <t>Enrich</t>
  </si>
  <si>
    <t>EVENT'S DYED</t>
  </si>
  <si>
    <t>EVENT'S WHITE</t>
  </si>
  <si>
    <t>Events White Repeat</t>
  </si>
  <si>
    <t>Fortune plush</t>
  </si>
  <si>
    <t>Greeky</t>
  </si>
  <si>
    <t>Harmony</t>
  </si>
  <si>
    <t>Infinity</t>
  </si>
  <si>
    <t>Luxury</t>
  </si>
  <si>
    <t>MATRIX WHITE</t>
  </si>
  <si>
    <t>Meadows</t>
  </si>
  <si>
    <t>Meadows Face towel</t>
  </si>
  <si>
    <t>Mellow</t>
  </si>
  <si>
    <t>NEW GENERATION</t>
  </si>
  <si>
    <t>Pearl</t>
  </si>
  <si>
    <t>Pure</t>
  </si>
  <si>
    <t>Salerino</t>
  </si>
  <si>
    <t>Serenity</t>
  </si>
  <si>
    <t>SIR HENRY DYED</t>
  </si>
  <si>
    <t>Tracks</t>
  </si>
  <si>
    <t>Triangle</t>
  </si>
  <si>
    <t>Trident (Majesty)</t>
  </si>
  <si>
    <t>WHITEROSE WHITE</t>
  </si>
  <si>
    <t>GREY MAT CODE</t>
  </si>
  <si>
    <t>DESCRIPTION</t>
  </si>
  <si>
    <t>SORT NO</t>
  </si>
  <si>
    <t>SHADE CODE</t>
  </si>
  <si>
    <t>SHADE NAME</t>
  </si>
  <si>
    <t>LOOM TYPE</t>
  </si>
  <si>
    <t>Program</t>
  </si>
  <si>
    <t>Qaulity</t>
  </si>
  <si>
    <t>W</t>
  </si>
  <si>
    <t>L</t>
  </si>
  <si>
    <t>GSM</t>
  </si>
  <si>
    <t>Wt/pc</t>
  </si>
  <si>
    <t>Dozen/carton</t>
  </si>
  <si>
    <t>Total Dozen</t>
  </si>
  <si>
    <t>Pcs / carton</t>
  </si>
  <si>
    <t>Carton</t>
  </si>
  <si>
    <t>Total Pcs</t>
  </si>
  <si>
    <t>Total Kgs</t>
  </si>
  <si>
    <t>Shades / size</t>
  </si>
  <si>
    <t>TRAS061ZB0P</t>
  </si>
  <si>
    <t>70X140/RUKAIYA-SIR HENRY</t>
  </si>
  <si>
    <t>DOBBY</t>
  </si>
  <si>
    <t>1/12 Carded</t>
  </si>
  <si>
    <t>TRAS061ZH0P</t>
  </si>
  <si>
    <t>50X90/RUKAIYA-SIR HENRY</t>
  </si>
  <si>
    <t>GREY  MAT CODE</t>
  </si>
  <si>
    <t>1/16 Carded</t>
  </si>
  <si>
    <t>TRAS063ZH0P</t>
  </si>
  <si>
    <t>40X75/RUKAIYA MATRIX TWL</t>
  </si>
  <si>
    <t>TRAS063ZH1P</t>
  </si>
  <si>
    <t>50X100/RUKAIYA MATRIX TWL</t>
  </si>
  <si>
    <t>GREY MAT CODE</t>
  </si>
  <si>
    <t>TRAS078ZB0P</t>
  </si>
  <si>
    <t>70X140/RUKAIY TRIDENT</t>
  </si>
  <si>
    <t>TRAS078ZB1P</t>
  </si>
  <si>
    <t>80X160/RUKAIY TRIDENT</t>
  </si>
  <si>
    <t>TRAS078ZH0P</t>
  </si>
  <si>
    <t>50X90/RUKAIY TRIDENT</t>
  </si>
  <si>
    <t>TRAS076ZB0P</t>
  </si>
  <si>
    <t>80X160/RUKAIYA HARMONY</t>
  </si>
  <si>
    <t>TRAS076ZB1P</t>
  </si>
  <si>
    <t>70X140/RUKAIYA HARMONY</t>
  </si>
  <si>
    <t>TRAS076ZH0P</t>
  </si>
  <si>
    <t>50X90/RUKAIYA HARMONY</t>
  </si>
  <si>
    <t>TRAS065ZB0P</t>
  </si>
  <si>
    <t>80X160/RUKAIYA LUXURY</t>
  </si>
  <si>
    <t>TRAS065ZB1P</t>
  </si>
  <si>
    <t>70X140/RUKAIYA LUXURY</t>
  </si>
  <si>
    <t>TRAS065ZH0P</t>
  </si>
  <si>
    <t>50X90/RUKAIYA LUXURY</t>
  </si>
  <si>
    <t>TRAS069ZB0P</t>
  </si>
  <si>
    <t>70X140/RUKAIYA BRIX TWL</t>
  </si>
  <si>
    <t>TRAS069ZB1P</t>
  </si>
  <si>
    <t>80X160/RUKAIYA BRIX TWL</t>
  </si>
  <si>
    <t>TRAS069ZH0P</t>
  </si>
  <si>
    <t>50X90/RUKAIYA BRIX TWL</t>
  </si>
  <si>
    <t>TRAS091ZB0P</t>
  </si>
  <si>
    <t>TRAS091ZB1P</t>
  </si>
  <si>
    <t>TRAS091ZH0P</t>
  </si>
  <si>
    <t>S/O #</t>
  </si>
  <si>
    <t>Customer PO #</t>
  </si>
  <si>
    <t>Program Name</t>
  </si>
  <si>
    <t>S/O Total Qty. Units</t>
  </si>
  <si>
    <t>S/O Total Qty. in Kgs.</t>
  </si>
  <si>
    <t>S/O Value</t>
  </si>
  <si>
    <t>PI Value (if PO available)</t>
  </si>
  <si>
    <t>Diff. (S/O Value - PO Value)</t>
  </si>
  <si>
    <t>Final Destination</t>
  </si>
  <si>
    <t>Ship Start Date as per SAP format</t>
  </si>
  <si>
    <t>Ship Cancel Date as per SAP format</t>
  </si>
  <si>
    <t>Sales A/c Holder</t>
  </si>
  <si>
    <t>3161227201</t>
  </si>
  <si>
    <t>PI- 436</t>
  </si>
  <si>
    <t>$0.0000</t>
  </si>
  <si>
    <t>JEBEL ALI</t>
  </si>
  <si>
    <t>DINESH MANJAREKAR</t>
  </si>
  <si>
    <t>   </t>
  </si>
  <si>
    <t></t>
  </si>
  <si>
    <t>OLD</t>
  </si>
  <si>
    <t>NEW</t>
  </si>
  <si>
    <t>DIV</t>
  </si>
  <si>
    <t>POL</t>
  </si>
  <si>
    <t>POD</t>
  </si>
  <si>
    <t>START DATE</t>
  </si>
  <si>
    <t>END DATE</t>
  </si>
  <si>
    <t>SO</t>
  </si>
  <si>
    <t>BS</t>
  </si>
  <si>
    <t>SOUTHGATE</t>
  </si>
  <si>
    <t>3161348034 </t>
  </si>
  <si>
    <t>BAYTOWN</t>
  </si>
  <si>
    <t> 3161348031</t>
  </si>
  <si>
    <t>CHARLESTON</t>
  </si>
  <si>
    <t>NORFOLK</t>
  </si>
  <si>
    <t> 3161348040</t>
  </si>
  <si>
    <t>Sold to party</t>
  </si>
  <si>
    <t>Sales Order</t>
  </si>
  <si>
    <t>Buyer PO NO</t>
  </si>
  <si>
    <t>So order Qty</t>
  </si>
  <si>
    <t>Ord KG</t>
  </si>
  <si>
    <t>SO Value</t>
  </si>
  <si>
    <t>Ship start Date</t>
  </si>
  <si>
    <t>Ship cancel Date</t>
  </si>
  <si>
    <t>remarks</t>
  </si>
  <si>
    <t>RNA RESOURCES LTD - HOME CENTRE</t>
  </si>
  <si>
    <t>NOV DEL</t>
  </si>
  <si>
    <t>SERENITY</t>
  </si>
  <si>
    <t>changed SW</t>
  </si>
  <si>
    <t>DEC DEL</t>
  </si>
  <si>
    <t>ETERNITY</t>
  </si>
  <si>
    <t>TRENT KIMONO BATHROBE</t>
  </si>
  <si>
    <t>closed because SO is already raised</t>
  </si>
  <si>
    <t>Size</t>
  </si>
  <si>
    <t>Price</t>
  </si>
  <si>
    <t>MLCL Microfiber Printed MLCL</t>
  </si>
  <si>
    <t>67 x 115 cms</t>
  </si>
  <si>
    <t>ATFWA5961T003</t>
  </si>
  <si>
    <t>50 x 150 cms</t>
  </si>
  <si>
    <t>ATFWA5961T001</t>
  </si>
  <si>
    <t>50 x 85 cm</t>
  </si>
  <si>
    <t>ATFWA5961T002</t>
  </si>
  <si>
    <t>Party</t>
  </si>
  <si>
    <t>Design Name</t>
  </si>
  <si>
    <t>Sort</t>
  </si>
  <si>
    <t>Matcode</t>
  </si>
  <si>
    <t>Article Code</t>
  </si>
  <si>
    <t>Apvd Sample Ref No</t>
  </si>
  <si>
    <t>Tuft GSM</t>
  </si>
  <si>
    <t>Recipe</t>
  </si>
  <si>
    <t>Recipe Matcode</t>
  </si>
  <si>
    <t>WUSA</t>
  </si>
  <si>
    <t>RA0617 - 001</t>
  </si>
  <si>
    <t>AFFWA6220T001</t>
  </si>
  <si>
    <t>VP002031</t>
  </si>
  <si>
    <t>SM23P1540</t>
  </si>
  <si>
    <t>C230215</t>
  </si>
  <si>
    <t>CDRA0617PT001</t>
  </si>
  <si>
    <t>RA0618 - 001</t>
  </si>
  <si>
    <t>VP002024</t>
  </si>
  <si>
    <t>SM23P1541</t>
  </si>
  <si>
    <t>C230216</t>
  </si>
  <si>
    <t>CDRA0618PT001</t>
  </si>
  <si>
    <t>RA0619 - 001</t>
  </si>
  <si>
    <t>VP002025</t>
  </si>
  <si>
    <t>SM23P1539</t>
  </si>
  <si>
    <t>C230217</t>
  </si>
  <si>
    <t>CDRA0619PT001</t>
  </si>
  <si>
    <t>RA0620 - 001</t>
  </si>
  <si>
    <t>VP002026</t>
  </si>
  <si>
    <t>SM23P1538</t>
  </si>
  <si>
    <t>C230218</t>
  </si>
  <si>
    <t>CDRA0620PT001</t>
  </si>
  <si>
    <t>RA0621 - 001</t>
  </si>
  <si>
    <t>VP002027</t>
  </si>
  <si>
    <t>SM23P1537</t>
  </si>
  <si>
    <t>C230219</t>
  </si>
  <si>
    <t>CDRA0621PT001</t>
  </si>
  <si>
    <t>RA0622 - 001</t>
  </si>
  <si>
    <t>VP002028</t>
  </si>
  <si>
    <t>SM23P1536</t>
  </si>
  <si>
    <t>C230220</t>
  </si>
  <si>
    <t>CDRA0622PT001</t>
  </si>
  <si>
    <t>RA0623 - 001</t>
  </si>
  <si>
    <t>VP002029</t>
  </si>
  <si>
    <t>SM23P1535</t>
  </si>
  <si>
    <t>C230221</t>
  </si>
  <si>
    <t>CDRA0623PT001</t>
  </si>
  <si>
    <t>RA0624 - 001</t>
  </si>
  <si>
    <t>VP002030</t>
  </si>
  <si>
    <t>SM23P1534</t>
  </si>
  <si>
    <t>C230222</t>
  </si>
  <si>
    <t>CDRA0624PT001</t>
  </si>
  <si>
    <t>Sales order No.</t>
  </si>
  <si>
    <t>Sales Item</t>
  </si>
  <si>
    <t>SO Text</t>
  </si>
  <si>
    <t>Customer P.O no</t>
  </si>
  <si>
    <t>Finish Material</t>
  </si>
  <si>
    <t>Material Description_VC</t>
  </si>
  <si>
    <t>Shade_Name_VC</t>
  </si>
  <si>
    <t>SO Qty</t>
  </si>
  <si>
    <t>Unit</t>
  </si>
  <si>
    <t>Req</t>
  </si>
  <si>
    <t>cartonable</t>
  </si>
  <si>
    <t>GIG HOOD TWL LACE EMB WH/77/450/WHITE GI</t>
  </si>
  <si>
    <t>GFAO903Z7705P</t>
  </si>
  <si>
    <t>GIG HOOD TWL LACE EMB WH/77/</t>
  </si>
  <si>
    <t>WHITE</t>
  </si>
  <si>
    <t>GIG HOOD ROB  LACE EMB WH/2Y/365/WHITE G</t>
  </si>
  <si>
    <t>GFAO903Z2Y06P</t>
  </si>
  <si>
    <t>GIG HOOD ROB  LACE EMB WH/2Y/</t>
  </si>
  <si>
    <t>GIG HOOD ROB  LACE EMB WH/3Y/365/WHITE G</t>
  </si>
  <si>
    <t>GFAO903Z3Y05P</t>
  </si>
  <si>
    <t>GIG HOOD ROB  LACE EMB WH/3Y/</t>
  </si>
  <si>
    <t>GIG HOOD TWL  LACE PCH EMB/77/450/WHITE</t>
  </si>
  <si>
    <t>GFAO903Z7706P</t>
  </si>
  <si>
    <t>GIG HOOD TWL  LACE PCH EMB/77/</t>
  </si>
  <si>
    <t>GIG HOOD ROB LACE EMB PCH/2Y/365/WHITE G</t>
  </si>
  <si>
    <t>GFAO903Z2Y07P</t>
  </si>
  <si>
    <t>GIG HOOD ROB LACE EMB PCH/2Y/</t>
  </si>
  <si>
    <t>GIG HOOD ROB LACE EMB PCH/3Y/365/WHITE G</t>
  </si>
  <si>
    <t>GFAO903Z3Y06P</t>
  </si>
  <si>
    <t>GIG HOOD ROB LACE EMB PCH/3Y/</t>
  </si>
  <si>
    <t>GIG HOOD ROB LACE EMB WH/1Y/365/WHITE GI</t>
  </si>
  <si>
    <t>GFAO903Z1Y05P</t>
  </si>
  <si>
    <t>GIG HOOD ROB LACE EMB WH/1Y/</t>
  </si>
  <si>
    <t>GIG HOOD ROB  LACE EMB PCH/1Y/365/WHITE</t>
  </si>
  <si>
    <t>GFAO903Z1Y06P</t>
  </si>
  <si>
    <t>GIG HOOD ROB  LACE EMB PCH/1Y/</t>
  </si>
  <si>
    <t>Li &amp; Fung (Trading) Limited
7/F, HK SPINNERS INDUSTRIAL BUILDING
Phase I &amp; II,
800 CHEUNG SHA WAN ROAD,
KOWLOON, HONGKONG
Air8 Pte Ltd,
3 Kallang Junction
#05-02 Singapore 339266
2% commission to WUSA
7/F, HK SPINNERS INDUSTRIAL BUILDING
Phase I &amp; II,
800 CHEUNG SHA WAN ROAD,
KOWLOON, HONGKONG
                                                                                   Air8 Pte Ltd,
3 Kallang Junction
#05-02 Singapore 339265</t>
  </si>
  <si>
    <t>2% commission to WUSA</t>
  </si>
  <si>
    <t>Saluja Tirkey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</si>
</sst>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;\(#,##0\);_(* &quot;-&quot;_);_(@_)"/>
    <numFmt numFmtId="165" formatCode="dd\-mm\-yyyy"/>
  </numFmts>
  <fonts count="63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0"/>
      <color rgb="FF006100"/>
      <name val="Arial"/>
      <family val="2"/>
    </font>
    <font>
      <sz val="10"/>
      <color rgb="FF9C0006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b/>
      <sz val="10"/>
      <color rgb="FF3F3F3F"/>
      <name val="Arial"/>
      <family val="2"/>
    </font>
    <font>
      <b/>
      <sz val="10"/>
      <color rgb="FFFA7D00"/>
      <name val="Arial"/>
      <family val="2"/>
    </font>
    <font>
      <sz val="10"/>
      <color rgb="FFFA7D0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i/>
      <sz val="10"/>
      <color rgb="FF7F7F7F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sz val="11"/>
      <color rgb="FF0000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10"/>
      <color indexed="8"/>
      <name val="Arial"/>
      <family val="2"/>
    </font>
    <font>
      <b/>
      <sz val="11"/>
      <color rgb="FF000000"/>
      <name val="Calibri"/>
      <family val="2"/>
      <scheme val="minor"/>
    </font>
    <font>
      <sz val="12"/>
      <color rgb="FF000000"/>
      <name val="Times New Roman"/>
      <family val="1"/>
    </font>
    <font>
      <sz val="12"/>
      <color rgb="FF500050"/>
      <name val="Times New Roman"/>
      <family val="1"/>
    </font>
    <font>
      <sz val="11"/>
      <color rgb="FF242424"/>
      <name val="Segoe UI"/>
      <family val="2"/>
    </font>
    <font>
      <sz val="12"/>
      <color rgb="FF242424"/>
      <name val="ControlIcons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0"/>
      <color rgb="FF99CC00"/>
      <name val="Arial Narrow"/>
      <family val="2"/>
    </font>
    <font>
      <sz val="10"/>
      <color rgb="FF242424"/>
      <name val="Arial Narrow"/>
      <family val="2"/>
    </font>
    <font>
      <sz val="11"/>
      <color rgb="FF1F497D"/>
      <name val="Calibri"/>
      <family val="2"/>
    </font>
    <font>
      <sz val="12"/>
      <color rgb="FF174E86"/>
      <name val="ControlIcons"/>
    </font>
    <font>
      <b/>
      <sz val="9"/>
      <color rgb="FF000000"/>
      <name val="Calibri"/>
      <family val="2"/>
      <scheme val="minor"/>
    </font>
    <font>
      <sz val="9"/>
      <color rgb="FF000000"/>
      <name val="Calibri"/>
      <family val="2"/>
      <scheme val="minor"/>
    </font>
    <font>
      <b/>
      <sz val="11"/>
      <color theme="1"/>
      <name val="Tahoma"/>
      <family val="2"/>
    </font>
    <font>
      <sz val="11"/>
      <color theme="1"/>
      <name val="Tahoma"/>
      <family val="2"/>
    </font>
    <font>
      <sz val="12"/>
      <color theme="1"/>
      <name val="Tahoma"/>
      <family val="2"/>
    </font>
    <font>
      <b/>
      <sz val="10"/>
      <color theme="1"/>
      <name val="Calibri"/>
      <family val="2"/>
      <scheme val="minor"/>
    </font>
    <font>
      <sz val="11"/>
      <color rgb="FF000000"/>
      <name val="Arial"/>
      <family val="2"/>
    </font>
    <font>
      <sz val="11"/>
      <color rgb="FF000000"/>
      <name val="Cambria"/>
      <family val="1"/>
    </font>
    <font>
      <sz val="11"/>
      <color rgb="FF000000"/>
      <name val="Gill Sans"/>
    </font>
    <font>
      <sz val="11"/>
      <color rgb="FFFF0000"/>
      <name val="Gill Sans"/>
    </font>
    <font>
      <sz val="11"/>
      <color theme="1"/>
      <name val="Segoe UI"/>
      <family val="2"/>
    </font>
    <font>
      <sz val="10"/>
      <color theme="1"/>
      <name val="Arial Narrow"/>
      <family val="2"/>
    </font>
    <font>
      <b/>
      <sz val="10"/>
      <color theme="1"/>
      <name val="Arial Narrow"/>
      <family val="2"/>
    </font>
    <font>
      <b/>
      <sz val="10"/>
      <color theme="1"/>
      <name val="Calibri"/>
      <family val="2"/>
    </font>
    <font>
      <sz val="12"/>
      <color rgb="FF000000"/>
      <name val="Sitka Text"/>
    </font>
    <font>
      <b/>
      <sz val="10"/>
      <color rgb="FF000000"/>
      <name val="Inherit"/>
    </font>
    <font>
      <sz val="12"/>
      <color rgb="FF000000"/>
      <name val="Aptos"/>
    </font>
    <font>
      <sz val="11"/>
      <color rgb="FF242424"/>
      <name val="Calibri"/>
      <family val="2"/>
      <scheme val="minor"/>
    </font>
    <font>
      <b/>
      <sz val="10"/>
      <color theme="1"/>
      <name val="Cambria"/>
      <family val="1"/>
      <scheme val="major"/>
    </font>
    <font>
      <sz val="10"/>
      <color theme="1"/>
      <name val="Cambria"/>
      <family val="1"/>
      <scheme val="major"/>
    </font>
    <font>
      <b/>
      <sz val="10"/>
      <color theme="0"/>
      <name val="Cambria"/>
      <family val="1"/>
      <scheme val="major"/>
    </font>
    <font>
      <sz val="10"/>
      <color theme="0"/>
      <name val="Cambria"/>
      <family val="1"/>
      <scheme val="major"/>
    </font>
    <font>
      <sz val="10"/>
      <color rgb="FF000000"/>
      <name val="Cambria"/>
      <family val="1"/>
      <scheme val="major"/>
    </font>
    <font>
      <sz val="10"/>
      <name val="Cambria"/>
      <family val="1"/>
      <scheme val="major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DDEBF7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FC000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D4D4D4"/>
      </left>
      <right style="medium">
        <color rgb="FFD4D4D4"/>
      </right>
      <top style="medium">
        <color rgb="FFD4D4D4"/>
      </top>
      <bottom/>
      <diagonal/>
    </border>
    <border>
      <left/>
      <right style="medium">
        <color rgb="FFD4D4D4"/>
      </right>
      <top style="medium">
        <color rgb="FFD4D4D4"/>
      </top>
      <bottom/>
      <diagonal/>
    </border>
    <border>
      <left/>
      <right/>
      <top style="medium">
        <color rgb="FF9BC2E6"/>
      </top>
      <bottom/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D4D4D4"/>
      </left>
      <right style="medium">
        <color rgb="FFD4D4D4"/>
      </right>
      <top style="medium">
        <color rgb="FFD4D4D4"/>
      </top>
      <bottom style="medium">
        <color rgb="FFD4D4D4"/>
      </bottom>
      <diagonal/>
    </border>
    <border>
      <left/>
      <right style="medium">
        <color rgb="FFD4D4D4"/>
      </right>
      <top style="medium">
        <color rgb="FFD4D4D4"/>
      </top>
      <bottom style="medium">
        <color rgb="FFD4D4D4"/>
      </bottom>
      <diagonal/>
    </border>
    <border>
      <left style="medium">
        <color rgb="FFD4D4D4"/>
      </left>
      <right style="medium">
        <color rgb="FFD4D4D4"/>
      </right>
      <top/>
      <bottom style="medium">
        <color rgb="FFD4D4D4"/>
      </bottom>
      <diagonal/>
    </border>
    <border>
      <left/>
      <right style="medium">
        <color rgb="FFD4D4D4"/>
      </right>
      <top/>
      <bottom style="medium">
        <color rgb="FFD4D4D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D4D4D4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3">
    <xf numFmtId="0" fontId="0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3" fillId="0" borderId="0"/>
    <xf numFmtId="0" fontId="3" fillId="12" borderId="0"/>
    <xf numFmtId="0" fontId="3" fillId="16" borderId="0"/>
    <xf numFmtId="0" fontId="3" fillId="20" borderId="0"/>
    <xf numFmtId="0" fontId="3" fillId="24" borderId="0"/>
    <xf numFmtId="0" fontId="3" fillId="28" borderId="0"/>
    <xf numFmtId="0" fontId="3" fillId="32" borderId="0"/>
    <xf numFmtId="0" fontId="3" fillId="13" borderId="0"/>
    <xf numFmtId="0" fontId="3" fillId="17" borderId="0"/>
    <xf numFmtId="0" fontId="3" fillId="21" borderId="0"/>
    <xf numFmtId="0" fontId="3" fillId="25" borderId="0"/>
    <xf numFmtId="0" fontId="3" fillId="29" borderId="0"/>
    <xf numFmtId="0" fontId="3" fillId="33" borderId="0"/>
    <xf numFmtId="0" fontId="19" fillId="14" borderId="0"/>
    <xf numFmtId="0" fontId="19" fillId="18" borderId="0"/>
    <xf numFmtId="0" fontId="19" fillId="22" borderId="0"/>
    <xf numFmtId="0" fontId="19" fillId="26" borderId="0"/>
    <xf numFmtId="0" fontId="19" fillId="30" borderId="0"/>
    <xf numFmtId="0" fontId="19" fillId="34" borderId="0"/>
    <xf numFmtId="0" fontId="19" fillId="11" borderId="0"/>
    <xf numFmtId="0" fontId="19" fillId="15" borderId="0"/>
    <xf numFmtId="0" fontId="19" fillId="19" borderId="0"/>
    <xf numFmtId="0" fontId="19" fillId="23" borderId="0"/>
    <xf numFmtId="0" fontId="19" fillId="27" borderId="0"/>
    <xf numFmtId="0" fontId="19" fillId="31" borderId="0"/>
    <xf numFmtId="0" fontId="9" fillId="5" borderId="0"/>
    <xf numFmtId="0" fontId="13" fillId="8" borderId="5"/>
    <xf numFmtId="0" fontId="15" fillId="9" borderId="8"/>
    <xf numFmtId="0" fontId="17" fillId="0" borderId="0"/>
    <xf numFmtId="0" fontId="8" fillId="4" borderId="0"/>
    <xf numFmtId="0" fontId="5" fillId="0" borderId="2"/>
    <xf numFmtId="0" fontId="6" fillId="0" borderId="3"/>
    <xf numFmtId="0" fontId="7" fillId="0" borderId="4"/>
    <xf numFmtId="0" fontId="7" fillId="0" borderId="0"/>
    <xf numFmtId="0" fontId="11" fillId="7" borderId="5"/>
    <xf numFmtId="0" fontId="14" fillId="0" borderId="7"/>
    <xf numFmtId="0" fontId="10" fillId="6" borderId="0"/>
    <xf numFmtId="0" fontId="3" fillId="10" borderId="9"/>
    <xf numFmtId="0" fontId="12" fillId="8" borderId="6"/>
    <xf numFmtId="0" fontId="4" fillId="0" borderId="0"/>
    <xf numFmtId="0" fontId="18" fillId="0" borderId="10"/>
    <xf numFmtId="0" fontId="16" fillId="0" borderId="0"/>
    <xf numFmtId="0" fontId="1" fillId="0" borderId="0">
      <alignment vertical="center"/>
    </xf>
    <xf numFmtId="0" fontId="1" fillId="0" borderId="0"/>
    <xf numFmtId="0" fontId="24" fillId="0" borderId="0"/>
    <xf numFmtId="0" fontId="1" fillId="0" borderId="0"/>
    <xf numFmtId="0" fontId="2" fillId="0" borderId="0"/>
    <xf numFmtId="0" fontId="2" fillId="10" borderId="9"/>
  </cellStyleXfs>
  <cellXfs count="187">
    <xf numFmtId="0" fontId="0" fillId="0" borderId="0" xfId="0"/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25" fillId="36" borderId="1" xfId="0" applyFont="1" applyFill="1" applyBorder="1" applyAlignment="1">
      <alignment horizontal="center" vertical="center" wrapText="1"/>
    </xf>
    <xf numFmtId="0" fontId="26" fillId="38" borderId="1" xfId="0" applyFont="1" applyFill="1" applyBorder="1" applyAlignment="1">
      <alignment horizontal="center" vertical="center" wrapText="1"/>
    </xf>
    <xf numFmtId="0" fontId="20" fillId="0" borderId="0" xfId="0" applyFont="1"/>
    <xf numFmtId="49" fontId="27" fillId="0" borderId="14" xfId="0" applyNumberFormat="1" applyFont="1" applyBorder="1" applyAlignment="1">
      <alignment horizontal="center"/>
    </xf>
    <xf numFmtId="4" fontId="27" fillId="0" borderId="14" xfId="0" applyNumberFormat="1" applyFont="1" applyBorder="1" applyAlignment="1">
      <alignment horizontal="center"/>
    </xf>
    <xf numFmtId="0" fontId="25" fillId="0" borderId="1" xfId="0" applyFont="1" applyBorder="1" applyAlignment="1">
      <alignment horizontal="center" vertical="center" wrapText="1"/>
    </xf>
    <xf numFmtId="14" fontId="27" fillId="0" borderId="14" xfId="0" applyNumberFormat="1" applyFont="1" applyBorder="1" applyAlignment="1">
      <alignment horizontal="center"/>
    </xf>
    <xf numFmtId="0" fontId="0" fillId="0" borderId="0" xfId="0" applyAlignment="1">
      <alignment horizontal="center" wrapText="1"/>
    </xf>
    <xf numFmtId="0" fontId="26" fillId="0" borderId="15" xfId="0" applyFont="1" applyBorder="1" applyAlignment="1">
      <alignment horizontal="center" vertical="center"/>
    </xf>
    <xf numFmtId="0" fontId="25" fillId="0" borderId="15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0" fontId="20" fillId="0" borderId="11" xfId="0" applyFont="1" applyBorder="1" applyAlignment="1">
      <alignment horizontal="center" vertical="center"/>
    </xf>
    <xf numFmtId="0" fontId="20" fillId="0" borderId="13" xfId="0" applyFont="1" applyBorder="1" applyAlignment="1">
      <alignment horizontal="center" vertical="center"/>
    </xf>
    <xf numFmtId="0" fontId="29" fillId="0" borderId="13" xfId="0" applyFont="1" applyBorder="1" applyAlignment="1">
      <alignment horizontal="center" vertical="center"/>
    </xf>
    <xf numFmtId="0" fontId="21" fillId="40" borderId="13" xfId="0" applyFont="1" applyFill="1" applyBorder="1" applyAlignment="1">
      <alignment horizontal="center" vertical="center"/>
    </xf>
    <xf numFmtId="0" fontId="20" fillId="0" borderId="13" xfId="0" applyFont="1" applyBorder="1" applyAlignment="1">
      <alignment horizontal="center"/>
    </xf>
    <xf numFmtId="0" fontId="30" fillId="0" borderId="13" xfId="0" applyFont="1" applyBorder="1" applyAlignment="1">
      <alignment horizontal="center" vertical="center"/>
    </xf>
    <xf numFmtId="0" fontId="29" fillId="0" borderId="0" xfId="0" applyFont="1" applyAlignment="1">
      <alignment horizontal="left" vertical="center" wrapText="1"/>
    </xf>
    <xf numFmtId="0" fontId="32" fillId="0" borderId="0" xfId="0" applyFont="1" applyAlignment="1">
      <alignment horizontal="left" vertical="center" wrapText="1"/>
    </xf>
    <xf numFmtId="0" fontId="26" fillId="41" borderId="15" xfId="0" applyFont="1" applyFill="1" applyBorder="1" applyAlignment="1">
      <alignment horizontal="center" vertical="center" wrapText="1"/>
    </xf>
    <xf numFmtId="0" fontId="25" fillId="41" borderId="15" xfId="0" applyFont="1" applyFill="1" applyBorder="1" applyAlignment="1">
      <alignment horizontal="center" vertical="center" wrapText="1"/>
    </xf>
    <xf numFmtId="0" fontId="31" fillId="41" borderId="22" xfId="0" applyFont="1" applyFill="1" applyBorder="1" applyAlignment="1">
      <alignment vertical="center" wrapText="1"/>
    </xf>
    <xf numFmtId="0" fontId="31" fillId="41" borderId="23" xfId="0" applyFont="1" applyFill="1" applyBorder="1" applyAlignment="1">
      <alignment vertical="center" wrapText="1"/>
    </xf>
    <xf numFmtId="0" fontId="34" fillId="0" borderId="24" xfId="0" applyFont="1" applyBorder="1" applyAlignment="1">
      <alignment vertical="center" wrapText="1"/>
    </xf>
    <xf numFmtId="0" fontId="35" fillId="42" borderId="18" xfId="0" applyFont="1" applyFill="1" applyBorder="1" applyAlignment="1">
      <alignment horizontal="center" vertical="center" wrapText="1"/>
    </xf>
    <xf numFmtId="0" fontId="35" fillId="42" borderId="19" xfId="0" applyFont="1" applyFill="1" applyBorder="1" applyAlignment="1">
      <alignment horizontal="center" vertical="center" wrapText="1"/>
    </xf>
    <xf numFmtId="0" fontId="35" fillId="42" borderId="20" xfId="0" applyFont="1" applyFill="1" applyBorder="1" applyAlignment="1">
      <alignment horizontal="center" vertical="center" wrapText="1"/>
    </xf>
    <xf numFmtId="0" fontId="35" fillId="42" borderId="21" xfId="0" applyFont="1" applyFill="1" applyBorder="1" applyAlignment="1">
      <alignment horizontal="center" vertical="center" wrapText="1"/>
    </xf>
    <xf numFmtId="0" fontId="36" fillId="41" borderId="20" xfId="0" applyFont="1" applyFill="1" applyBorder="1" applyAlignment="1">
      <alignment horizontal="center" vertical="center" wrapText="1"/>
    </xf>
    <xf numFmtId="0" fontId="36" fillId="41" borderId="21" xfId="0" applyFont="1" applyFill="1" applyBorder="1" applyAlignment="1">
      <alignment horizontal="center" vertical="center" wrapText="1"/>
    </xf>
    <xf numFmtId="15" fontId="36" fillId="41" borderId="21" xfId="0" applyNumberFormat="1" applyFont="1" applyFill="1" applyBorder="1" applyAlignment="1">
      <alignment horizontal="center" vertical="center" wrapText="1"/>
    </xf>
    <xf numFmtId="14" fontId="34" fillId="41" borderId="21" xfId="0" applyNumberFormat="1" applyFont="1" applyFill="1" applyBorder="1" applyAlignment="1">
      <alignment horizontal="center" vertical="center" wrapText="1"/>
    </xf>
    <xf numFmtId="0" fontId="34" fillId="39" borderId="21" xfId="0" applyFont="1" applyFill="1" applyBorder="1" applyAlignment="1">
      <alignment horizontal="center" vertical="center" wrapText="1"/>
    </xf>
    <xf numFmtId="0" fontId="34" fillId="39" borderId="21" xfId="0" applyFont="1" applyFill="1" applyBorder="1" applyAlignment="1">
      <alignment vertical="center" wrapText="1"/>
    </xf>
    <xf numFmtId="0" fontId="37" fillId="0" borderId="0" xfId="0" applyFont="1" applyAlignment="1">
      <alignment vertical="center" wrapText="1"/>
    </xf>
    <xf numFmtId="0" fontId="28" fillId="41" borderId="15" xfId="0" applyFont="1" applyFill="1" applyBorder="1" applyAlignment="1">
      <alignment horizontal="center" vertical="center" wrapText="1"/>
    </xf>
    <xf numFmtId="0" fontId="28" fillId="41" borderId="26" xfId="0" applyFont="1" applyFill="1" applyBorder="1" applyAlignment="1">
      <alignment horizontal="center" vertical="center" wrapText="1"/>
    </xf>
    <xf numFmtId="0" fontId="20" fillId="41" borderId="16" xfId="0" applyFont="1" applyFill="1" applyBorder="1" applyAlignment="1">
      <alignment horizontal="center" vertical="center" wrapText="1"/>
    </xf>
    <xf numFmtId="0" fontId="20" fillId="41" borderId="27" xfId="0" applyFont="1" applyFill="1" applyBorder="1" applyAlignment="1">
      <alignment horizontal="center" vertical="center" wrapText="1"/>
    </xf>
    <xf numFmtId="0" fontId="20" fillId="2" borderId="16" xfId="0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20" fillId="0" borderId="15" xfId="0" applyFont="1" applyBorder="1" applyAlignment="1">
      <alignment horizontal="center"/>
    </xf>
    <xf numFmtId="0" fontId="25" fillId="0" borderId="15" xfId="0" applyFont="1" applyBorder="1" applyAlignment="1">
      <alignment horizontal="center" vertical="center" wrapText="1"/>
    </xf>
    <xf numFmtId="0" fontId="38" fillId="0" borderId="0" xfId="0" applyFont="1" applyAlignment="1">
      <alignment horizontal="left" vertical="center" wrapText="1"/>
    </xf>
    <xf numFmtId="0" fontId="39" fillId="0" borderId="1" xfId="0" applyFont="1" applyBorder="1" applyAlignment="1">
      <alignment horizontal="center" vertical="center"/>
    </xf>
    <xf numFmtId="0" fontId="39" fillId="0" borderId="17" xfId="0" applyFont="1" applyBorder="1" applyAlignment="1">
      <alignment horizontal="center" vertical="center"/>
    </xf>
    <xf numFmtId="0" fontId="40" fillId="0" borderId="11" xfId="0" applyFont="1" applyBorder="1" applyAlignment="1">
      <alignment horizontal="center" vertical="center"/>
    </xf>
    <xf numFmtId="0" fontId="40" fillId="0" borderId="13" xfId="0" applyFont="1" applyBorder="1" applyAlignment="1">
      <alignment horizontal="center" vertical="center"/>
    </xf>
    <xf numFmtId="0" fontId="26" fillId="2" borderId="0" xfId="0" applyFont="1" applyFill="1" applyAlignment="1">
      <alignment horizontal="center" wrapText="1"/>
    </xf>
    <xf numFmtId="0" fontId="0" fillId="0" borderId="29" xfId="0" applyBorder="1"/>
    <xf numFmtId="0" fontId="26" fillId="2" borderId="0" xfId="0" applyFont="1" applyFill="1" applyAlignment="1">
      <alignment horizontal="center" vertical="center" wrapText="1"/>
    </xf>
    <xf numFmtId="0" fontId="25" fillId="41" borderId="0" xfId="0" applyFont="1" applyFill="1" applyAlignment="1">
      <alignment horizontal="center" wrapText="1"/>
    </xf>
    <xf numFmtId="0" fontId="25" fillId="41" borderId="0" xfId="0" applyFont="1" applyFill="1" applyAlignment="1">
      <alignment horizontal="center" vertical="center" wrapText="1"/>
    </xf>
    <xf numFmtId="0" fontId="0" fillId="0" borderId="30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14" fontId="25" fillId="41" borderId="0" xfId="0" applyNumberFormat="1" applyFont="1" applyFill="1" applyAlignment="1">
      <alignment horizontal="center" wrapText="1"/>
    </xf>
    <xf numFmtId="0" fontId="25" fillId="0" borderId="16" xfId="0" applyFont="1" applyBorder="1" applyAlignment="1">
      <alignment horizontal="center" vertical="center" wrapText="1"/>
    </xf>
    <xf numFmtId="0" fontId="20" fillId="0" borderId="1" xfId="0" applyFont="1" applyBorder="1" applyAlignment="1">
      <alignment horizontal="center"/>
    </xf>
    <xf numFmtId="0" fontId="0" fillId="0" borderId="31" xfId="0" applyBorder="1"/>
    <xf numFmtId="0" fontId="0" fillId="0" borderId="32" xfId="0" applyBorder="1"/>
    <xf numFmtId="0" fontId="0" fillId="0" borderId="1" xfId="0" applyBorder="1"/>
    <xf numFmtId="0" fontId="33" fillId="0" borderId="18" xfId="0" applyFont="1" applyBorder="1" applyAlignment="1">
      <alignment vertical="center"/>
    </xf>
    <xf numFmtId="0" fontId="33" fillId="0" borderId="19" xfId="0" applyFont="1" applyBorder="1" applyAlignment="1">
      <alignment vertical="center"/>
    </xf>
    <xf numFmtId="0" fontId="34" fillId="0" borderId="20" xfId="0" applyFont="1" applyBorder="1" applyAlignment="1">
      <alignment vertical="center"/>
    </xf>
    <xf numFmtId="0" fontId="34" fillId="0" borderId="21" xfId="0" applyFont="1" applyBorder="1" applyAlignment="1">
      <alignment vertical="center"/>
    </xf>
    <xf numFmtId="0" fontId="34" fillId="0" borderId="21" xfId="0" applyFont="1" applyBorder="1" applyAlignment="1">
      <alignment horizontal="right" vertical="center"/>
    </xf>
    <xf numFmtId="4" fontId="34" fillId="0" borderId="21" xfId="0" applyNumberFormat="1" applyFont="1" applyBorder="1" applyAlignment="1">
      <alignment horizontal="right" vertical="center"/>
    </xf>
    <xf numFmtId="0" fontId="25" fillId="41" borderId="16" xfId="0" applyFont="1" applyFill="1" applyBorder="1" applyAlignment="1">
      <alignment horizontal="center" vertical="center"/>
    </xf>
    <xf numFmtId="0" fontId="25" fillId="41" borderId="27" xfId="0" applyFont="1" applyFill="1" applyBorder="1" applyAlignment="1">
      <alignment horizontal="center" vertical="center"/>
    </xf>
    <xf numFmtId="4" fontId="25" fillId="41" borderId="27" xfId="0" applyNumberFormat="1" applyFont="1" applyFill="1" applyBorder="1" applyAlignment="1">
      <alignment horizontal="center" vertical="center"/>
    </xf>
    <xf numFmtId="0" fontId="25" fillId="0" borderId="27" xfId="0" applyFont="1" applyBorder="1" applyAlignment="1">
      <alignment horizontal="center" vertical="center"/>
    </xf>
    <xf numFmtId="14" fontId="25" fillId="0" borderId="27" xfId="0" applyNumberFormat="1" applyFont="1" applyBorder="1" applyAlignment="1">
      <alignment horizontal="center" vertical="center"/>
    </xf>
    <xf numFmtId="0" fontId="25" fillId="2" borderId="15" xfId="0" applyFont="1" applyFill="1" applyBorder="1" applyAlignment="1">
      <alignment horizontal="center" vertical="center"/>
    </xf>
    <xf numFmtId="0" fontId="25" fillId="2" borderId="26" xfId="0" applyFont="1" applyFill="1" applyBorder="1" applyAlignment="1">
      <alignment horizontal="center" vertical="center"/>
    </xf>
    <xf numFmtId="0" fontId="41" fillId="0" borderId="1" xfId="0" applyFont="1" applyBorder="1" applyAlignment="1">
      <alignment horizontal="center"/>
    </xf>
    <xf numFmtId="0" fontId="41" fillId="0" borderId="17" xfId="0" applyFont="1" applyBorder="1" applyAlignment="1">
      <alignment horizontal="center"/>
    </xf>
    <xf numFmtId="0" fontId="42" fillId="0" borderId="11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3" fillId="0" borderId="11" xfId="0" applyFont="1" applyBorder="1" applyAlignment="1">
      <alignment horizontal="left"/>
    </xf>
    <xf numFmtId="0" fontId="43" fillId="0" borderId="13" xfId="0" applyFont="1" applyBorder="1" applyAlignment="1">
      <alignment horizontal="center"/>
    </xf>
    <xf numFmtId="0" fontId="44" fillId="0" borderId="11" xfId="0" applyFont="1" applyBorder="1" applyAlignment="1">
      <alignment horizontal="center"/>
    </xf>
    <xf numFmtId="0" fontId="39" fillId="37" borderId="15" xfId="0" applyFont="1" applyFill="1" applyBorder="1" applyAlignment="1">
      <alignment horizontal="center" vertical="center"/>
    </xf>
    <xf numFmtId="0" fontId="45" fillId="0" borderId="15" xfId="0" applyFont="1" applyBorder="1" applyAlignment="1">
      <alignment horizontal="center"/>
    </xf>
    <xf numFmtId="0" fontId="20" fillId="41" borderId="15" xfId="0" applyFont="1" applyFill="1" applyBorder="1" applyAlignment="1">
      <alignment horizontal="center"/>
    </xf>
    <xf numFmtId="0" fontId="28" fillId="0" borderId="15" xfId="0" applyFont="1" applyBorder="1" applyAlignment="1">
      <alignment horizontal="center"/>
    </xf>
    <xf numFmtId="0" fontId="20" fillId="0" borderId="15" xfId="0" applyFont="1" applyBorder="1"/>
    <xf numFmtId="0" fontId="20" fillId="0" borderId="33" xfId="0" applyFont="1" applyBorder="1" applyAlignment="1">
      <alignment horizontal="center"/>
    </xf>
    <xf numFmtId="0" fontId="45" fillId="0" borderId="33" xfId="0" applyFont="1" applyBorder="1" applyAlignment="1">
      <alignment horizontal="center"/>
    </xf>
    <xf numFmtId="0" fontId="20" fillId="41" borderId="33" xfId="0" applyFont="1" applyFill="1" applyBorder="1" applyAlignment="1">
      <alignment horizontal="center"/>
    </xf>
    <xf numFmtId="0" fontId="20" fillId="0" borderId="33" xfId="0" applyFont="1" applyBorder="1"/>
    <xf numFmtId="0" fontId="46" fillId="0" borderId="15" xfId="0" applyFont="1" applyBorder="1" applyAlignment="1">
      <alignment horizontal="center" vertical="center"/>
    </xf>
    <xf numFmtId="4" fontId="0" fillId="0" borderId="0" xfId="0" applyNumberFormat="1"/>
    <xf numFmtId="16" fontId="0" fillId="0" borderId="0" xfId="0" applyNumberFormat="1"/>
    <xf numFmtId="0" fontId="25" fillId="0" borderId="16" xfId="0" applyFont="1" applyBorder="1" applyAlignment="1">
      <alignment horizontal="center" vertical="center"/>
    </xf>
    <xf numFmtId="0" fontId="47" fillId="0" borderId="1" xfId="0" applyFont="1" applyBorder="1" applyAlignment="1">
      <alignment horizontal="center" vertical="center" wrapText="1"/>
    </xf>
    <xf numFmtId="0" fontId="47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horizontal="center" vertical="center" wrapText="1"/>
    </xf>
    <xf numFmtId="0" fontId="48" fillId="0" borderId="1" xfId="0" applyFont="1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33" fillId="2" borderId="1" xfId="0" applyFont="1" applyFill="1" applyBorder="1" applyAlignment="1">
      <alignment horizontal="center" vertical="center"/>
    </xf>
    <xf numFmtId="0" fontId="23" fillId="2" borderId="1" xfId="0" applyFont="1" applyFill="1" applyBorder="1" applyAlignment="1">
      <alignment horizontal="center" vertical="center"/>
    </xf>
    <xf numFmtId="0" fontId="47" fillId="0" borderId="0" xfId="0" applyFont="1" applyAlignment="1">
      <alignment horizontal="center" vertical="center" wrapText="1"/>
    </xf>
    <xf numFmtId="0" fontId="47" fillId="0" borderId="0" xfId="0" applyFont="1" applyAlignment="1">
      <alignment horizontal="center" vertical="center"/>
    </xf>
    <xf numFmtId="0" fontId="49" fillId="0" borderId="34" xfId="0" applyFont="1" applyBorder="1"/>
    <xf numFmtId="0" fontId="49" fillId="0" borderId="35" xfId="0" applyFont="1" applyBorder="1"/>
    <xf numFmtId="0" fontId="50" fillId="0" borderId="35" xfId="0" applyFont="1" applyBorder="1" applyAlignment="1">
      <alignment horizontal="right" vertical="center"/>
    </xf>
    <xf numFmtId="0" fontId="51" fillId="0" borderId="20" xfId="0" applyFont="1" applyBorder="1" applyAlignment="1">
      <alignment horizontal="center" vertical="center"/>
    </xf>
    <xf numFmtId="0" fontId="51" fillId="0" borderId="21" xfId="0" applyFont="1" applyBorder="1" applyAlignment="1">
      <alignment horizontal="center" vertical="center"/>
    </xf>
    <xf numFmtId="0" fontId="52" fillId="0" borderId="21" xfId="0" applyFont="1" applyBorder="1" applyAlignment="1">
      <alignment horizontal="center" vertical="center"/>
    </xf>
    <xf numFmtId="0" fontId="50" fillId="0" borderId="20" xfId="0" applyFont="1" applyBorder="1" applyAlignment="1">
      <alignment horizontal="center" vertical="center"/>
    </xf>
    <xf numFmtId="0" fontId="50" fillId="0" borderId="21" xfId="0" applyFont="1" applyBorder="1" applyAlignment="1">
      <alignment horizontal="center" vertical="center"/>
    </xf>
    <xf numFmtId="0" fontId="50" fillId="0" borderId="21" xfId="0" applyFont="1" applyBorder="1" applyAlignment="1">
      <alignment vertical="center"/>
    </xf>
    <xf numFmtId="0" fontId="3" fillId="0" borderId="21" xfId="0" applyFont="1" applyBorder="1" applyAlignment="1">
      <alignment vertical="center"/>
    </xf>
    <xf numFmtId="0" fontId="37" fillId="0" borderId="0" xfId="0" applyFont="1" applyAlignment="1">
      <alignment vertical="center"/>
    </xf>
    <xf numFmtId="0" fontId="32" fillId="0" borderId="0" xfId="0" applyFont="1" applyAlignment="1">
      <alignment vertical="center"/>
    </xf>
    <xf numFmtId="0" fontId="50" fillId="0" borderId="18" xfId="0" applyFont="1" applyBorder="1" applyAlignment="1">
      <alignment horizontal="center" vertical="center"/>
    </xf>
    <xf numFmtId="0" fontId="50" fillId="0" borderId="19" xfId="0" applyFont="1" applyBorder="1" applyAlignment="1">
      <alignment horizontal="center" vertical="center"/>
    </xf>
    <xf numFmtId="0" fontId="50" fillId="0" borderId="19" xfId="0" applyFont="1" applyBorder="1" applyAlignment="1">
      <alignment vertical="center"/>
    </xf>
    <xf numFmtId="0" fontId="50" fillId="0" borderId="21" xfId="0" applyFont="1" applyBorder="1" applyAlignment="1">
      <alignment horizontal="right" vertical="center"/>
    </xf>
    <xf numFmtId="0" fontId="3" fillId="0" borderId="21" xfId="0" applyFont="1" applyBorder="1" applyAlignment="1">
      <alignment horizontal="right" vertical="center"/>
    </xf>
    <xf numFmtId="0" fontId="51" fillId="0" borderId="36" xfId="0" applyFont="1" applyBorder="1" applyAlignment="1">
      <alignment horizontal="center" vertical="center"/>
    </xf>
    <xf numFmtId="0" fontId="51" fillId="0" borderId="37" xfId="0" applyFont="1" applyBorder="1" applyAlignment="1">
      <alignment horizontal="center" vertical="center"/>
    </xf>
    <xf numFmtId="0" fontId="51" fillId="0" borderId="37" xfId="0" applyFont="1" applyBorder="1" applyAlignment="1">
      <alignment vertical="center"/>
    </xf>
    <xf numFmtId="0" fontId="51" fillId="0" borderId="37" xfId="0" applyFont="1" applyBorder="1" applyAlignment="1">
      <alignment horizontal="right" vertical="center"/>
    </xf>
    <xf numFmtId="0" fontId="53" fillId="0" borderId="0" xfId="0" applyFont="1" applyAlignment="1">
      <alignment vertical="center"/>
    </xf>
    <xf numFmtId="0" fontId="33" fillId="43" borderId="38" xfId="0" applyFont="1" applyFill="1" applyBorder="1" applyAlignment="1">
      <alignment horizontal="center" vertical="center"/>
    </xf>
    <xf numFmtId="0" fontId="33" fillId="43" borderId="39" xfId="0" applyFont="1" applyFill="1" applyBorder="1" applyAlignment="1">
      <alignment horizontal="center" vertical="center"/>
    </xf>
    <xf numFmtId="0" fontId="54" fillId="44" borderId="39" xfId="0" applyFont="1" applyFill="1" applyBorder="1" applyAlignment="1">
      <alignment horizontal="center" vertical="center"/>
    </xf>
    <xf numFmtId="0" fontId="34" fillId="41" borderId="40" xfId="0" applyFont="1" applyFill="1" applyBorder="1" applyAlignment="1">
      <alignment horizontal="center" vertical="center"/>
    </xf>
    <xf numFmtId="0" fontId="34" fillId="41" borderId="12" xfId="0" applyFont="1" applyFill="1" applyBorder="1" applyAlignment="1">
      <alignment horizontal="center" vertical="center"/>
    </xf>
    <xf numFmtId="0" fontId="54" fillId="44" borderId="12" xfId="0" applyFont="1" applyFill="1" applyBorder="1" applyAlignment="1">
      <alignment horizontal="center" vertical="center"/>
    </xf>
    <xf numFmtId="0" fontId="34" fillId="0" borderId="12" xfId="0" applyFont="1" applyBorder="1" applyAlignment="1">
      <alignment horizontal="right" vertical="center"/>
    </xf>
    <xf numFmtId="0" fontId="55" fillId="0" borderId="0" xfId="0" applyFont="1" applyAlignment="1">
      <alignment horizontal="left" vertical="center"/>
    </xf>
    <xf numFmtId="0" fontId="58" fillId="0" borderId="1" xfId="0" applyFont="1" applyBorder="1" applyAlignment="1">
      <alignment horizontal="center"/>
    </xf>
    <xf numFmtId="0" fontId="58" fillId="0" borderId="1" xfId="0" applyFont="1" applyBorder="1" applyAlignment="1">
      <alignment horizontal="center" vertical="center"/>
    </xf>
    <xf numFmtId="0" fontId="57" fillId="2" borderId="43" xfId="0" applyFont="1" applyFill="1" applyBorder="1" applyAlignment="1">
      <alignment horizontal="center" vertical="center"/>
    </xf>
    <xf numFmtId="165" fontId="57" fillId="2" borderId="43" xfId="0" applyNumberFormat="1" applyFont="1" applyFill="1" applyBorder="1" applyAlignment="1">
      <alignment horizontal="center" vertical="center"/>
    </xf>
    <xf numFmtId="1" fontId="57" fillId="2" borderId="43" xfId="0" applyNumberFormat="1" applyFont="1" applyFill="1" applyBorder="1" applyAlignment="1">
      <alignment horizontal="center" vertical="center"/>
    </xf>
    <xf numFmtId="0" fontId="0" fillId="3" borderId="43" xfId="0" applyFill="1" applyBorder="1" applyAlignment="1">
      <alignment horizontal="center" vertical="center"/>
    </xf>
    <xf numFmtId="0" fontId="57" fillId="37" borderId="43" xfId="0" applyFont="1" applyFill="1" applyBorder="1" applyAlignment="1">
      <alignment horizontal="center" vertical="center"/>
    </xf>
    <xf numFmtId="0" fontId="57" fillId="35" borderId="43" xfId="0" applyFont="1" applyFill="1" applyBorder="1" applyAlignment="1">
      <alignment horizontal="center" vertical="center"/>
    </xf>
    <xf numFmtId="0" fontId="57" fillId="48" borderId="43" xfId="0" applyFont="1" applyFill="1" applyBorder="1" applyAlignment="1">
      <alignment horizontal="center" vertical="center"/>
    </xf>
    <xf numFmtId="165" fontId="57" fillId="37" borderId="43" xfId="0" applyNumberFormat="1" applyFont="1" applyFill="1" applyBorder="1" applyAlignment="1">
      <alignment horizontal="center" vertical="center"/>
    </xf>
    <xf numFmtId="1" fontId="57" fillId="37" borderId="43" xfId="0" applyNumberFormat="1" applyFont="1" applyFill="1" applyBorder="1" applyAlignment="1">
      <alignment horizontal="center" vertical="center"/>
    </xf>
    <xf numFmtId="0" fontId="23" fillId="3" borderId="43" xfId="0" applyFont="1" applyFill="1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60" fillId="45" borderId="43" xfId="0" applyFont="1" applyFill="1" applyBorder="1" applyAlignment="1">
      <alignment horizontal="center" vertical="center"/>
    </xf>
    <xf numFmtId="0" fontId="58" fillId="0" borderId="43" xfId="0" applyFont="1" applyBorder="1" applyAlignment="1">
      <alignment horizontal="center" vertical="center"/>
    </xf>
    <xf numFmtId="165" fontId="60" fillId="45" borderId="43" xfId="0" applyNumberFormat="1" applyFont="1" applyFill="1" applyBorder="1" applyAlignment="1">
      <alignment horizontal="center" vertical="center"/>
    </xf>
    <xf numFmtId="0" fontId="59" fillId="45" borderId="43" xfId="0" applyFont="1" applyFill="1" applyBorder="1" applyAlignment="1">
      <alignment horizontal="center" vertical="center"/>
    </xf>
    <xf numFmtId="3" fontId="59" fillId="45" borderId="43" xfId="0" applyNumberFormat="1" applyFont="1" applyFill="1" applyBorder="1" applyAlignment="1">
      <alignment horizontal="center" vertical="center"/>
    </xf>
    <xf numFmtId="0" fontId="58" fillId="45" borderId="43" xfId="0" applyFont="1" applyFill="1" applyBorder="1" applyAlignment="1">
      <alignment horizontal="center" vertical="center"/>
    </xf>
    <xf numFmtId="1" fontId="58" fillId="48" borderId="43" xfId="0" applyNumberFormat="1" applyFont="1" applyFill="1" applyBorder="1" applyAlignment="1">
      <alignment horizontal="center" vertical="center"/>
    </xf>
    <xf numFmtId="0" fontId="62" fillId="0" borderId="43" xfId="0" applyFont="1" applyBorder="1" applyAlignment="1">
      <alignment horizontal="center" vertical="center"/>
    </xf>
    <xf numFmtId="0" fontId="61" fillId="41" borderId="43" xfId="0" applyFont="1" applyFill="1" applyBorder="1" applyAlignment="1">
      <alignment horizontal="center" vertical="center"/>
    </xf>
    <xf numFmtId="165" fontId="58" fillId="0" borderId="43" xfId="0" applyNumberFormat="1" applyFont="1" applyBorder="1" applyAlignment="1">
      <alignment horizontal="center" vertical="center"/>
    </xf>
    <xf numFmtId="0" fontId="61" fillId="0" borderId="43" xfId="0" applyFont="1" applyBorder="1" applyAlignment="1">
      <alignment horizontal="center" vertical="center"/>
    </xf>
    <xf numFmtId="1" fontId="58" fillId="0" borderId="43" xfId="0" applyNumberFormat="1" applyFont="1" applyBorder="1" applyAlignment="1">
      <alignment horizontal="center" vertical="center"/>
    </xf>
    <xf numFmtId="0" fontId="34" fillId="41" borderId="43" xfId="0" applyFont="1" applyFill="1" applyBorder="1" applyAlignment="1">
      <alignment horizontal="center" vertical="center"/>
    </xf>
    <xf numFmtId="0" fontId="56" fillId="0" borderId="43" xfId="0" applyFont="1" applyBorder="1" applyAlignment="1">
      <alignment horizontal="center" vertical="center"/>
    </xf>
    <xf numFmtId="0" fontId="22" fillId="0" borderId="43" xfId="0" applyFont="1" applyBorder="1" applyAlignment="1">
      <alignment horizontal="center" vertical="center"/>
    </xf>
    <xf numFmtId="0" fontId="0" fillId="2" borderId="43" xfId="0" applyFill="1" applyBorder="1" applyAlignment="1">
      <alignment horizontal="center" vertical="center"/>
    </xf>
    <xf numFmtId="0" fontId="57" fillId="47" borderId="43" xfId="0" applyFont="1" applyFill="1" applyBorder="1" applyAlignment="1">
      <alignment horizontal="center" vertical="center"/>
    </xf>
    <xf numFmtId="0" fontId="58" fillId="47" borderId="43" xfId="0" applyFont="1" applyFill="1" applyBorder="1" applyAlignment="1">
      <alignment horizontal="center" vertical="center"/>
    </xf>
    <xf numFmtId="165" fontId="58" fillId="47" borderId="43" xfId="0" applyNumberFormat="1" applyFont="1" applyFill="1" applyBorder="1" applyAlignment="1">
      <alignment horizontal="center" vertical="center"/>
    </xf>
    <xf numFmtId="1" fontId="58" fillId="47" borderId="43" xfId="0" applyNumberFormat="1" applyFont="1" applyFill="1" applyBorder="1" applyAlignment="1">
      <alignment horizontal="center" vertical="center"/>
    </xf>
    <xf numFmtId="0" fontId="0" fillId="46" borderId="43" xfId="0" applyFill="1" applyBorder="1" applyAlignment="1">
      <alignment horizontal="center" vertical="center"/>
    </xf>
    <xf numFmtId="49" fontId="57" fillId="0" borderId="43" xfId="0" applyNumberFormat="1" applyFont="1" applyBorder="1" applyAlignment="1">
      <alignment horizontal="center" vertical="center"/>
    </xf>
    <xf numFmtId="164" fontId="58" fillId="0" borderId="43" xfId="0" applyNumberFormat="1" applyFont="1" applyBorder="1" applyAlignment="1">
      <alignment horizontal="center" vertical="center"/>
    </xf>
    <xf numFmtId="0" fontId="34" fillId="0" borderId="43" xfId="0" applyFont="1" applyBorder="1" applyAlignment="1">
      <alignment horizontal="center" vertical="center"/>
    </xf>
    <xf numFmtId="0" fontId="58" fillId="46" borderId="43" xfId="0" applyFont="1" applyFill="1" applyBorder="1" applyAlignment="1">
      <alignment horizontal="center" vertical="center"/>
    </xf>
    <xf numFmtId="0" fontId="62" fillId="0" borderId="43" xfId="0" applyFont="1" applyBorder="1" applyAlignment="1">
      <alignment horizontal="center" vertical="center" wrapText="1"/>
    </xf>
    <xf numFmtId="0" fontId="23" fillId="35" borderId="43" xfId="0" applyFont="1" applyFill="1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50" fillId="0" borderId="34" xfId="0" applyFont="1" applyBorder="1" applyAlignment="1">
      <alignment horizontal="center" vertical="center"/>
    </xf>
    <xf numFmtId="0" fontId="0" fillId="0" borderId="35" xfId="0" applyBorder="1"/>
    <xf numFmtId="0" fontId="51" fillId="0" borderId="18" xfId="0" applyFont="1" applyBorder="1" applyAlignment="1">
      <alignment horizontal="center" vertical="center"/>
    </xf>
    <xf numFmtId="0" fontId="0" fillId="0" borderId="19" xfId="0" applyBorder="1"/>
    <xf numFmtId="0" fontId="33" fillId="41" borderId="41" xfId="0" applyFont="1" applyFill="1" applyBorder="1" applyAlignment="1">
      <alignment horizontal="center" vertical="center" wrapText="1"/>
    </xf>
    <xf numFmtId="0" fontId="0" fillId="0" borderId="25" xfId="0" applyBorder="1"/>
    <xf numFmtId="0" fontId="33" fillId="41" borderId="42" xfId="0" applyFont="1" applyFill="1" applyBorder="1" applyAlignment="1">
      <alignment horizontal="center" vertical="center" wrapText="1"/>
    </xf>
  </cellXfs>
  <cellStyles count="53">
    <cellStyle name="20% - Accent1 2" xfId="6" xr:uid="{00000000-0005-0000-0000-000000000000}"/>
    <cellStyle name="20% - Accent2 2" xfId="7" xr:uid="{00000000-0005-0000-0000-000001000000}"/>
    <cellStyle name="20% - Accent3 2" xfId="8" xr:uid="{00000000-0005-0000-0000-000002000000}"/>
    <cellStyle name="20% - Accent4 2" xfId="9" xr:uid="{00000000-0005-0000-0000-000003000000}"/>
    <cellStyle name="20% - Accent5 2" xfId="10" xr:uid="{00000000-0005-0000-0000-000004000000}"/>
    <cellStyle name="20% - Accent6 2" xfId="11" xr:uid="{00000000-0005-0000-0000-000005000000}"/>
    <cellStyle name="40% - Accent1 2" xfId="12" xr:uid="{00000000-0005-0000-0000-000006000000}"/>
    <cellStyle name="40% - Accent2 2" xfId="13" xr:uid="{00000000-0005-0000-0000-000007000000}"/>
    <cellStyle name="40% - Accent3 2" xfId="14" xr:uid="{00000000-0005-0000-0000-000008000000}"/>
    <cellStyle name="40% - Accent4 2" xfId="15" xr:uid="{00000000-0005-0000-0000-000009000000}"/>
    <cellStyle name="40% - Accent5 2" xfId="16" xr:uid="{00000000-0005-0000-0000-00000A000000}"/>
    <cellStyle name="40% - Accent6 2" xfId="17" xr:uid="{00000000-0005-0000-0000-00000B000000}"/>
    <cellStyle name="60% - Accent1 2" xfId="18" xr:uid="{00000000-0005-0000-0000-00000C000000}"/>
    <cellStyle name="60% - Accent2 2" xfId="19" xr:uid="{00000000-0005-0000-0000-00000D000000}"/>
    <cellStyle name="60% - Accent3 2" xfId="20" xr:uid="{00000000-0005-0000-0000-00000E000000}"/>
    <cellStyle name="60% - Accent4 2" xfId="21" xr:uid="{00000000-0005-0000-0000-00000F000000}"/>
    <cellStyle name="60% - Accent5 2" xfId="22" xr:uid="{00000000-0005-0000-0000-000010000000}"/>
    <cellStyle name="60% - Accent6 2" xfId="23" xr:uid="{00000000-0005-0000-0000-000011000000}"/>
    <cellStyle name="Accent1 2" xfId="24" xr:uid="{00000000-0005-0000-0000-000012000000}"/>
    <cellStyle name="Accent2 2" xfId="25" xr:uid="{00000000-0005-0000-0000-000013000000}"/>
    <cellStyle name="Accent3 2" xfId="26" xr:uid="{00000000-0005-0000-0000-000014000000}"/>
    <cellStyle name="Accent4 2" xfId="27" xr:uid="{00000000-0005-0000-0000-000015000000}"/>
    <cellStyle name="Accent5 2" xfId="28" xr:uid="{00000000-0005-0000-0000-000016000000}"/>
    <cellStyle name="Accent6 2" xfId="29" xr:uid="{00000000-0005-0000-0000-000017000000}"/>
    <cellStyle name="Bad 2" xfId="30" xr:uid="{00000000-0005-0000-0000-000018000000}"/>
    <cellStyle name="Calculation 2" xfId="31" xr:uid="{00000000-0005-0000-0000-000019000000}"/>
    <cellStyle name="Check Cell 2" xfId="32" xr:uid="{00000000-0005-0000-0000-00001A000000}"/>
    <cellStyle name="Explanatory Text 2" xfId="33" xr:uid="{00000000-0005-0000-0000-00001B000000}"/>
    <cellStyle name="Good 2" xfId="34" xr:uid="{00000000-0005-0000-0000-00001C000000}"/>
    <cellStyle name="Heading 1 2" xfId="35" xr:uid="{00000000-0005-0000-0000-00001D000000}"/>
    <cellStyle name="Heading 2 2" xfId="36" xr:uid="{00000000-0005-0000-0000-00001E000000}"/>
    <cellStyle name="Heading 3 2" xfId="37" xr:uid="{00000000-0005-0000-0000-00001F000000}"/>
    <cellStyle name="Heading 4 2" xfId="38" xr:uid="{00000000-0005-0000-0000-000020000000}"/>
    <cellStyle name="Input 2" xfId="39" xr:uid="{00000000-0005-0000-0000-000021000000}"/>
    <cellStyle name="Linked Cell 2" xfId="40" xr:uid="{00000000-0005-0000-0000-000022000000}"/>
    <cellStyle name="Neutral 2" xfId="41" xr:uid="{00000000-0005-0000-0000-000023000000}"/>
    <cellStyle name="Normal" xfId="0" builtinId="0"/>
    <cellStyle name="Normal 11" xfId="50" xr:uid="{00000000-0005-0000-0000-000025000000}"/>
    <cellStyle name="Normal 2" xfId="1" xr:uid="{00000000-0005-0000-0000-000026000000}"/>
    <cellStyle name="Normal 2 2" xfId="47" xr:uid="{00000000-0005-0000-0000-000027000000}"/>
    <cellStyle name="Normal 3" xfId="2" xr:uid="{00000000-0005-0000-0000-000028000000}"/>
    <cellStyle name="Normal 3 2" xfId="51" xr:uid="{00000000-0005-0000-0000-000029000000}"/>
    <cellStyle name="Normal 6" xfId="4" xr:uid="{00000000-0005-0000-0000-00002A000000}"/>
    <cellStyle name="Normal 64" xfId="3" xr:uid="{00000000-0005-0000-0000-00002B000000}"/>
    <cellStyle name="Normal 76" xfId="5" xr:uid="{00000000-0005-0000-0000-00002C000000}"/>
    <cellStyle name="Normal 8" xfId="48" xr:uid="{00000000-0005-0000-0000-00002D000000}"/>
    <cellStyle name="Note 2" xfId="42" xr:uid="{00000000-0005-0000-0000-00002E000000}"/>
    <cellStyle name="Note 2 2" xfId="52" xr:uid="{00000000-0005-0000-0000-00002F000000}"/>
    <cellStyle name="Output 2" xfId="43" xr:uid="{00000000-0005-0000-0000-000030000000}"/>
    <cellStyle name="Title 2" xfId="44" xr:uid="{00000000-0005-0000-0000-000031000000}"/>
    <cellStyle name="Title 3" xfId="49" xr:uid="{00000000-0005-0000-0000-000032000000}"/>
    <cellStyle name="Total 2" xfId="45" xr:uid="{00000000-0005-0000-0000-000033000000}"/>
    <cellStyle name="Warning Text 2" xfId="46" xr:uid="{00000000-0005-0000-0000-000034000000}"/>
  </cellStyles>
  <dxfs count="1">
    <dxf>
      <fill>
        <patternFill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Matcode%20List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1213/Desktop/JLP/AW23%20welspun%20range%20plan%20(1)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1213/Desktop/ashwini/SO%20Creation%20format%20Towels%20(1)%20(Autosaved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tcode List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 (2)"/>
      <sheetName val="Sheet1"/>
    </sheetNames>
    <sheetDataSet>
      <sheetData sheetId="0">
        <row r="3">
          <cell r="G3" t="str">
            <v>STOCK NO</v>
          </cell>
          <cell r="H3" t="str">
            <v>SHORT DESCRIPTION</v>
          </cell>
          <cell r="I3" t="str">
            <v xml:space="preserve">PRODUCT DESCRIPTION </v>
          </cell>
        </row>
        <row r="4">
          <cell r="G4">
            <v>60058612</v>
          </cell>
          <cell r="H4" t="str">
            <v>quick dry  HT wht</v>
          </cell>
          <cell r="I4" t="str">
            <v>GSM 420 quick dry recycled ( 100% cotton pile with cotton/recycled poly ground ) HT</v>
          </cell>
        </row>
        <row r="5">
          <cell r="G5">
            <v>60058611</v>
          </cell>
          <cell r="H5" t="str">
            <v>quick dry BT wht</v>
          </cell>
          <cell r="I5" t="str">
            <v>GSM 420 quick dry recycled ( 100% cotton pile with cotton/recycled poly ground ) BT</v>
          </cell>
        </row>
        <row r="6">
          <cell r="G6">
            <v>60058601</v>
          </cell>
          <cell r="H6" t="str">
            <v>quick dry BS  wht</v>
          </cell>
          <cell r="I6" t="str">
            <v xml:space="preserve">GSM 420 quick dry recycled ( 100% cotton pile with cotton/recycled poly ground ) BS </v>
          </cell>
        </row>
        <row r="7">
          <cell r="G7">
            <v>60058608</v>
          </cell>
          <cell r="H7" t="str">
            <v>quick dry HT stl</v>
          </cell>
          <cell r="I7" t="str">
            <v>GSM 420 quick dry recycled ( 100% cotton pile with cotton/recycled poly ground ) HT</v>
          </cell>
        </row>
        <row r="8">
          <cell r="G8">
            <v>60058609</v>
          </cell>
          <cell r="H8" t="str">
            <v>Quick dry BT stl</v>
          </cell>
          <cell r="I8" t="str">
            <v>GSM 420 quick dry recycled ( 100% cotton pile with cotton/recycled poly ground ) BT</v>
          </cell>
        </row>
        <row r="9">
          <cell r="G9">
            <v>60058610</v>
          </cell>
          <cell r="H9" t="str">
            <v>quick dry BS stl</v>
          </cell>
          <cell r="I9" t="str">
            <v xml:space="preserve">GSM 420 quick dry recycled ( 100% cotton pile with cotton/recycled poly ground ) BS </v>
          </cell>
        </row>
        <row r="10">
          <cell r="G10">
            <v>60058602</v>
          </cell>
          <cell r="H10" t="str">
            <v>quick dry cotton/poly HT bls</v>
          </cell>
          <cell r="I10" t="str">
            <v>GSM 420 quick dry recycled ( 100% cotton pile with cotton/recycled poly ground ) HT</v>
          </cell>
        </row>
        <row r="11">
          <cell r="G11">
            <v>60058603</v>
          </cell>
          <cell r="H11" t="str">
            <v>quick dry cotton/poly BT bls</v>
          </cell>
          <cell r="I11" t="str">
            <v>GSM 420 quick dry recycled ( 100% cotton pile with cotton/recycled poly ground ) BT</v>
          </cell>
        </row>
        <row r="12">
          <cell r="G12">
            <v>60058604</v>
          </cell>
          <cell r="H12" t="str">
            <v>quick dry cotton/poly BS bls</v>
          </cell>
          <cell r="I12" t="str">
            <v xml:space="preserve">GSM 420 quick dry recycled ( 100% cotton pile with cotton/recycled poly ground ) BS </v>
          </cell>
        </row>
        <row r="13">
          <cell r="G13">
            <v>60058605</v>
          </cell>
          <cell r="H13" t="str">
            <v>quickdry cotton/poly HT lgry</v>
          </cell>
          <cell r="I13" t="str">
            <v>GSM 420 quick dry recycled ( 100% cotton pile with cotton/recycled poly ground ) HT</v>
          </cell>
        </row>
        <row r="14">
          <cell r="G14">
            <v>60058606</v>
          </cell>
          <cell r="H14" t="str">
            <v>quickdry cotton/poly BT lgry</v>
          </cell>
          <cell r="I14" t="str">
            <v>GSM 420 quick dry recycled ( 100% cotton pile with cotton/recycled poly ground ) BT</v>
          </cell>
        </row>
        <row r="15">
          <cell r="G15">
            <v>60058607</v>
          </cell>
          <cell r="H15" t="str">
            <v>quickdry cotton/poly BS lgry</v>
          </cell>
          <cell r="I15" t="str">
            <v xml:space="preserve">GSM 420 quick dry recycled ( 100% cotton pile with cotton/recycled poly ground ) BS </v>
          </cell>
        </row>
        <row r="16">
          <cell r="G16">
            <v>60058308</v>
          </cell>
          <cell r="H16" t="str">
            <v>basic lght ctton ht drk stl</v>
          </cell>
          <cell r="I16" t="str">
            <v>basic light cotton ht dark steel</v>
          </cell>
        </row>
        <row r="17">
          <cell r="G17">
            <v>60058311</v>
          </cell>
          <cell r="H17" t="str">
            <v>basic light cotton ht white</v>
          </cell>
          <cell r="I17" t="str">
            <v>basic light cotton ht white</v>
          </cell>
        </row>
        <row r="18">
          <cell r="G18">
            <v>60058314</v>
          </cell>
          <cell r="H18" t="str">
            <v>basic lght ctton bt drk stl</v>
          </cell>
          <cell r="I18" t="str">
            <v>basic light cotton bt dark steel</v>
          </cell>
        </row>
        <row r="19">
          <cell r="G19">
            <v>60058317</v>
          </cell>
          <cell r="H19" t="str">
            <v>basic light cotton bt white</v>
          </cell>
          <cell r="I19" t="str">
            <v>basic light cotton bt white</v>
          </cell>
        </row>
        <row r="20">
          <cell r="G20">
            <v>60058320</v>
          </cell>
          <cell r="H20" t="str">
            <v>basic lght ctton bs drk stl</v>
          </cell>
          <cell r="I20" t="str">
            <v>basic light cotton bs dark steel</v>
          </cell>
        </row>
        <row r="21">
          <cell r="G21">
            <v>60058323</v>
          </cell>
          <cell r="H21" t="str">
            <v>basic light cotton bs white</v>
          </cell>
          <cell r="I21" t="str">
            <v>basic light cotton bs white</v>
          </cell>
        </row>
        <row r="22">
          <cell r="G22">
            <v>60058701</v>
          </cell>
          <cell r="H22" t="str">
            <v>4pc col defence bale dk stel</v>
          </cell>
          <cell r="I22" t="str">
            <v>4pc col defence bale dk stel</v>
          </cell>
        </row>
        <row r="23">
          <cell r="G23">
            <v>60058704</v>
          </cell>
          <cell r="H23" t="str">
            <v>4pc col defence bale white</v>
          </cell>
          <cell r="I23" t="str">
            <v>4pc col defence bale white</v>
          </cell>
        </row>
        <row r="24">
          <cell r="G24">
            <v>60099572</v>
          </cell>
          <cell r="H24" t="str">
            <v>EGY MS 30x30 FC x2 Umber</v>
          </cell>
          <cell r="I24" t="str">
            <v>EGY MS 30x30 FC x2 Umber</v>
          </cell>
        </row>
        <row r="25">
          <cell r="G25">
            <v>60099571</v>
          </cell>
          <cell r="H25" t="str">
            <v>EGY MS 30x30 FC x2 Soft Teal</v>
          </cell>
          <cell r="I25" t="str">
            <v>EGY MS 30x30 FC x2 Soft Teal</v>
          </cell>
        </row>
        <row r="26">
          <cell r="G26">
            <v>60099570</v>
          </cell>
          <cell r="H26" t="str">
            <v>EGY MS30x30 FC2 Ultra Marine</v>
          </cell>
          <cell r="I26" t="str">
            <v>EGY MS30x30 FC2 Ultra Marine</v>
          </cell>
        </row>
        <row r="27">
          <cell r="G27">
            <v>60099569</v>
          </cell>
          <cell r="H27" t="str">
            <v>EGY MS 30x30 FCx2 Fjord</v>
          </cell>
          <cell r="I27" t="str">
            <v>EGY MS 30x30 FCx2 Fjord</v>
          </cell>
        </row>
        <row r="28">
          <cell r="G28">
            <v>60099574</v>
          </cell>
          <cell r="H28" t="str">
            <v>EGY MS 30x30 FC x2 Evergreen</v>
          </cell>
          <cell r="I28" t="str">
            <v>EGY MS 30x30 FC x2 Evergreen</v>
          </cell>
        </row>
        <row r="29">
          <cell r="G29">
            <v>60099568</v>
          </cell>
          <cell r="H29" t="str">
            <v>EGY MS 30x30 FCx2 Light Grey</v>
          </cell>
          <cell r="I29" t="str">
            <v>EGY MS 30x30 FCx2 Light Grey</v>
          </cell>
        </row>
        <row r="30">
          <cell r="G30">
            <v>60099567</v>
          </cell>
          <cell r="H30" t="str">
            <v>EGY MS 30x30 FCx2 Tawny Bir</v>
          </cell>
          <cell r="I30" t="str">
            <v>EGY MS 30x30 FCx2 Tawny Bir</v>
          </cell>
        </row>
        <row r="31">
          <cell r="G31">
            <v>60099564</v>
          </cell>
          <cell r="H31" t="str">
            <v>EGY MS 30x30 FC x2 Amaranth</v>
          </cell>
          <cell r="I31" t="str">
            <v>EGY MS 30x30 FC x2 Amaranth</v>
          </cell>
        </row>
        <row r="32">
          <cell r="G32">
            <v>60099554</v>
          </cell>
          <cell r="H32" t="str">
            <v>EGY MS 30x30 FC x2 Mauve</v>
          </cell>
          <cell r="I32" t="str">
            <v>EGY MS 30x30 FC x2 Mauve</v>
          </cell>
        </row>
        <row r="33">
          <cell r="G33">
            <v>60099533</v>
          </cell>
          <cell r="H33" t="str">
            <v>EGY MS 30x30 FC x2 Mink</v>
          </cell>
          <cell r="I33" t="str">
            <v>EGY MS 30x30 FC x2 Mink</v>
          </cell>
        </row>
        <row r="34">
          <cell r="G34">
            <v>60099518</v>
          </cell>
          <cell r="H34" t="str">
            <v>EGY MS 30x30 FC x2 Damson</v>
          </cell>
          <cell r="I34" t="str">
            <v>EGY MS 30x30 FC x2 Damson</v>
          </cell>
        </row>
        <row r="35">
          <cell r="G35">
            <v>60099515</v>
          </cell>
          <cell r="H35" t="str">
            <v>EGY MS 30x30 FCx2 Soft Yell</v>
          </cell>
          <cell r="I35" t="str">
            <v>EGY MS 30x30 FCx2 Soft Yell</v>
          </cell>
        </row>
        <row r="36">
          <cell r="G36">
            <v>60099514</v>
          </cell>
          <cell r="H36" t="str">
            <v>EGY MS 30x30 FCx2 Baked Clay</v>
          </cell>
          <cell r="I36" t="str">
            <v>EGY MS 30x30 FCx2 Baked Clay</v>
          </cell>
        </row>
        <row r="37">
          <cell r="G37">
            <v>60099573</v>
          </cell>
          <cell r="H37" t="str">
            <v>EGY MS 30x30 FC x2 Rosemary</v>
          </cell>
          <cell r="I37" t="str">
            <v>EGY MS 30x30 FC x2 Rosemary</v>
          </cell>
        </row>
        <row r="38">
          <cell r="G38">
            <v>60099511</v>
          </cell>
          <cell r="H38" t="str">
            <v>EGY MS 30x30 FC x2 Sage</v>
          </cell>
          <cell r="I38" t="str">
            <v>EGY MS 30x30 FC x2 Sage</v>
          </cell>
        </row>
        <row r="39">
          <cell r="G39">
            <v>60099510</v>
          </cell>
          <cell r="H39" t="str">
            <v>EGY MS 30x30 FC x2 Slate</v>
          </cell>
          <cell r="I39" t="str">
            <v>EGY MS 30x30 FC x2 Slate</v>
          </cell>
        </row>
        <row r="40">
          <cell r="G40">
            <v>60092670</v>
          </cell>
          <cell r="H40" t="str">
            <v>egyptian GT Umber</v>
          </cell>
          <cell r="I40" t="str">
            <v>egyptian GT Umber</v>
          </cell>
        </row>
        <row r="41">
          <cell r="G41">
            <v>60092669</v>
          </cell>
          <cell r="H41" t="str">
            <v>egyptian GT Soft Teal</v>
          </cell>
          <cell r="I41" t="str">
            <v>egyptian GT Soft Teal</v>
          </cell>
        </row>
        <row r="42">
          <cell r="G42">
            <v>60092668</v>
          </cell>
          <cell r="H42" t="str">
            <v>egyptian GT Ultra Marine</v>
          </cell>
          <cell r="I42" t="str">
            <v>egyptian GT Ultra Marine</v>
          </cell>
        </row>
        <row r="43">
          <cell r="G43">
            <v>60092667</v>
          </cell>
          <cell r="H43" t="str">
            <v>egyptian GT Fjord dk grey</v>
          </cell>
          <cell r="I43" t="str">
            <v>egyptian GT Fjord dk grey</v>
          </cell>
        </row>
        <row r="44">
          <cell r="G44">
            <v>60092666</v>
          </cell>
          <cell r="H44" t="str">
            <v>egyptian GT Evergreen</v>
          </cell>
          <cell r="I44" t="str">
            <v>egyptian GT Evergreen</v>
          </cell>
        </row>
        <row r="45">
          <cell r="G45">
            <v>60092675</v>
          </cell>
          <cell r="H45" t="str">
            <v>egyptian GT Light Grey</v>
          </cell>
          <cell r="I45" t="str">
            <v>egyptian GT Light Grey</v>
          </cell>
        </row>
        <row r="46">
          <cell r="G46">
            <v>60092671</v>
          </cell>
          <cell r="H46" t="str">
            <v>egyptian GT Tawny Birch</v>
          </cell>
          <cell r="I46" t="str">
            <v>egyptian GT Tawny Birch</v>
          </cell>
        </row>
        <row r="47">
          <cell r="G47">
            <v>60092665</v>
          </cell>
          <cell r="H47" t="str">
            <v>egyptian GT Amaranth</v>
          </cell>
          <cell r="I47" t="str">
            <v>egyptian GT Amaranth</v>
          </cell>
        </row>
        <row r="48">
          <cell r="G48">
            <v>60092672</v>
          </cell>
          <cell r="H48" t="str">
            <v>egyptian GT Mauve</v>
          </cell>
          <cell r="I48" t="str">
            <v>egyptian GT Mauve</v>
          </cell>
        </row>
        <row r="49">
          <cell r="G49">
            <v>60092661</v>
          </cell>
          <cell r="H49" t="str">
            <v>egyptian GT Mink</v>
          </cell>
          <cell r="I49" t="str">
            <v>egyptian GT Mink</v>
          </cell>
        </row>
        <row r="50">
          <cell r="G50">
            <v>60092659</v>
          </cell>
          <cell r="H50" t="str">
            <v>egyptian GT Damson</v>
          </cell>
          <cell r="I50" t="str">
            <v>egyptian GT Damson</v>
          </cell>
        </row>
        <row r="51">
          <cell r="G51">
            <v>60092674</v>
          </cell>
          <cell r="H51" t="str">
            <v>egyptian GT Soft Yellow</v>
          </cell>
          <cell r="I51" t="str">
            <v>egyptian GT Soft Yellow</v>
          </cell>
        </row>
        <row r="52">
          <cell r="G52">
            <v>60092630</v>
          </cell>
          <cell r="H52" t="str">
            <v>egyptian GT Baked Clay</v>
          </cell>
          <cell r="I52" t="str">
            <v>egyptian GT Baked Clay</v>
          </cell>
        </row>
        <row r="53">
          <cell r="G53">
            <v>60092622</v>
          </cell>
          <cell r="H53" t="str">
            <v>egyptian GT Rosemary</v>
          </cell>
          <cell r="I53" t="str">
            <v>egyptian GT Rosemary</v>
          </cell>
        </row>
        <row r="54">
          <cell r="G54">
            <v>60092614</v>
          </cell>
          <cell r="H54" t="str">
            <v>egyptian GT Sage</v>
          </cell>
          <cell r="I54" t="str">
            <v>egyptian GT Sage</v>
          </cell>
        </row>
        <row r="55">
          <cell r="G55">
            <v>60092602</v>
          </cell>
          <cell r="H55" t="str">
            <v>egyptian GT Slate</v>
          </cell>
          <cell r="I55" t="str">
            <v>egyptian GT Slate</v>
          </cell>
        </row>
        <row r="56">
          <cell r="G56">
            <v>60092769</v>
          </cell>
          <cell r="H56" t="str">
            <v>EGY MS HT 90x50 Umber</v>
          </cell>
          <cell r="I56" t="str">
            <v>EGY MS HT 90x50 Umber</v>
          </cell>
        </row>
        <row r="57">
          <cell r="G57">
            <v>60092768</v>
          </cell>
          <cell r="H57" t="str">
            <v>EGY MS HT 90x50 Soft Teal</v>
          </cell>
          <cell r="I57" t="str">
            <v>EGY MS HT 90x50 Soft Teal</v>
          </cell>
        </row>
        <row r="58">
          <cell r="G58">
            <v>60092767</v>
          </cell>
          <cell r="H58" t="str">
            <v>EGY MS HT 90x50 Ultra Marine</v>
          </cell>
          <cell r="I58" t="str">
            <v>EGY MS HT 90x50 Ultra Marine</v>
          </cell>
        </row>
        <row r="59">
          <cell r="G59">
            <v>60092766</v>
          </cell>
          <cell r="H59" t="str">
            <v>EGY MS HT 90x50 Fjord</v>
          </cell>
          <cell r="I59" t="str">
            <v>EGY MS HT 90x50 Fjord</v>
          </cell>
        </row>
        <row r="60">
          <cell r="G60">
            <v>60092765</v>
          </cell>
          <cell r="H60" t="str">
            <v>EGY MS HT 90x50 Evergreen</v>
          </cell>
          <cell r="I60" t="str">
            <v>EGY MS HT 90x50 Evergreen</v>
          </cell>
        </row>
        <row r="61">
          <cell r="G61">
            <v>60092764</v>
          </cell>
          <cell r="H61" t="str">
            <v>EGY MS HT 90x50 Light Grey</v>
          </cell>
          <cell r="I61" t="str">
            <v>EGY MS HT 90x50 Light Grey</v>
          </cell>
        </row>
        <row r="62">
          <cell r="G62">
            <v>60092760</v>
          </cell>
          <cell r="H62" t="str">
            <v>EGY MS HT 90x50 Tawny Birch</v>
          </cell>
          <cell r="I62" t="str">
            <v>EGY MS HT 90x50 Tawny Birch</v>
          </cell>
        </row>
        <row r="63">
          <cell r="G63">
            <v>60092759</v>
          </cell>
          <cell r="H63" t="str">
            <v>EGY MS HT 90x50 Amaranth</v>
          </cell>
          <cell r="I63" t="str">
            <v>EGY MS HT 90x50 Amaranth</v>
          </cell>
        </row>
        <row r="64">
          <cell r="G64">
            <v>60092771</v>
          </cell>
          <cell r="H64" t="str">
            <v>EGY MS HT 90x50 Mauve</v>
          </cell>
          <cell r="I64" t="str">
            <v>EGY MS HT 90x50 Mauve</v>
          </cell>
        </row>
        <row r="65">
          <cell r="G65">
            <v>60092753</v>
          </cell>
          <cell r="H65" t="str">
            <v>EGY MS HT 90x50 Mink</v>
          </cell>
          <cell r="I65" t="str">
            <v>EGY MS HT 90x50 Mink</v>
          </cell>
        </row>
        <row r="66">
          <cell r="G66">
            <v>60092743</v>
          </cell>
          <cell r="H66" t="str">
            <v>EGY MS HT 90x50 Damson</v>
          </cell>
          <cell r="I66" t="str">
            <v>EGY MS HT 90x50 Damson</v>
          </cell>
        </row>
        <row r="67">
          <cell r="G67">
            <v>60092770</v>
          </cell>
          <cell r="H67" t="str">
            <v>EGY MS HT 90x50 Soft Yellow</v>
          </cell>
          <cell r="I67" t="str">
            <v>EGY MS HT 90x50 Soft Yellow</v>
          </cell>
        </row>
        <row r="68">
          <cell r="G68">
            <v>60092742</v>
          </cell>
          <cell r="H68" t="str">
            <v>EGY MS HT 90x50 Baked Clay</v>
          </cell>
          <cell r="I68" t="str">
            <v>EGY MS HT 90x50 Baked Clay</v>
          </cell>
        </row>
        <row r="69">
          <cell r="G69">
            <v>60092724</v>
          </cell>
          <cell r="H69" t="str">
            <v>EGY MS HT 90x50 Rosemary</v>
          </cell>
          <cell r="I69" t="str">
            <v>EGY MS HT 90x50 Rosemary</v>
          </cell>
        </row>
        <row r="70">
          <cell r="G70">
            <v>60092718</v>
          </cell>
          <cell r="H70" t="str">
            <v>EGY MS HT 90x50 Sage</v>
          </cell>
          <cell r="I70" t="str">
            <v>EGY MS HT 90x50 Sage</v>
          </cell>
        </row>
        <row r="71">
          <cell r="G71">
            <v>60092709</v>
          </cell>
          <cell r="H71" t="str">
            <v>EGY MS HT 90x50 Slate</v>
          </cell>
          <cell r="I71" t="str">
            <v>EGY MS HT 90x50 Slate</v>
          </cell>
        </row>
        <row r="72">
          <cell r="G72">
            <v>60092864</v>
          </cell>
          <cell r="H72" t="str">
            <v>egyptian BT Umber</v>
          </cell>
          <cell r="I72" t="str">
            <v>egyptian BT Umber</v>
          </cell>
        </row>
        <row r="73">
          <cell r="G73">
            <v>60092857</v>
          </cell>
          <cell r="H73" t="str">
            <v>egyptian BT Soft Teal</v>
          </cell>
          <cell r="I73" t="str">
            <v>egyptian BT Soft Teal</v>
          </cell>
        </row>
        <row r="74">
          <cell r="G74">
            <v>60092853</v>
          </cell>
          <cell r="H74" t="str">
            <v>egyptian BT Ultra Marine</v>
          </cell>
          <cell r="I74" t="str">
            <v>egyptian BT Ultra Marine</v>
          </cell>
        </row>
        <row r="75">
          <cell r="G75">
            <v>60092851</v>
          </cell>
          <cell r="H75" t="str">
            <v>egyptian BT Fjord dk grey</v>
          </cell>
          <cell r="I75" t="str">
            <v>egyptian BT Fjord dk grey</v>
          </cell>
        </row>
        <row r="76">
          <cell r="G76">
            <v>60092849</v>
          </cell>
          <cell r="H76" t="str">
            <v>egyptian BT Evergreen</v>
          </cell>
          <cell r="I76" t="str">
            <v>egyptian BT Evergreen</v>
          </cell>
        </row>
        <row r="77">
          <cell r="G77">
            <v>60092866</v>
          </cell>
          <cell r="H77" t="str">
            <v>egyptian BT Light Grey</v>
          </cell>
          <cell r="I77" t="str">
            <v>egyptian BT Light Grey</v>
          </cell>
        </row>
        <row r="78">
          <cell r="G78">
            <v>60092846</v>
          </cell>
          <cell r="H78" t="str">
            <v>egyptian BT Tawny Birch</v>
          </cell>
          <cell r="I78" t="str">
            <v>egyptian BT Tawny Birch</v>
          </cell>
        </row>
        <row r="79">
          <cell r="G79">
            <v>60092842</v>
          </cell>
          <cell r="H79" t="str">
            <v>egyptian BT Amaranth</v>
          </cell>
          <cell r="I79" t="str">
            <v>egyptian BT Amaranth</v>
          </cell>
        </row>
        <row r="80">
          <cell r="G80">
            <v>60092840</v>
          </cell>
          <cell r="H80" t="str">
            <v>egyptian BT Mauve</v>
          </cell>
          <cell r="I80" t="str">
            <v>egyptian BT Mauve</v>
          </cell>
        </row>
        <row r="81">
          <cell r="G81">
            <v>60092833</v>
          </cell>
          <cell r="H81" t="str">
            <v>egyptian BT Mink</v>
          </cell>
          <cell r="I81" t="str">
            <v>egyptian BT Mink</v>
          </cell>
        </row>
        <row r="82">
          <cell r="G82">
            <v>60092828</v>
          </cell>
          <cell r="H82" t="str">
            <v>egyptian BT Damson</v>
          </cell>
          <cell r="I82" t="str">
            <v>egyptian BT Damson</v>
          </cell>
        </row>
        <row r="83">
          <cell r="G83">
            <v>60092824</v>
          </cell>
          <cell r="H83" t="str">
            <v>egyptian BT Soft Yellow</v>
          </cell>
          <cell r="I83" t="str">
            <v>egyptian BT Soft Yellow</v>
          </cell>
        </row>
        <row r="84">
          <cell r="G84">
            <v>60092865</v>
          </cell>
          <cell r="H84" t="str">
            <v>egyptian BT Baked Clay</v>
          </cell>
          <cell r="I84" t="str">
            <v>egyptian BT Baked Clay</v>
          </cell>
        </row>
        <row r="85">
          <cell r="G85">
            <v>60092819</v>
          </cell>
          <cell r="H85" t="str">
            <v>egyptian BT Rosemary</v>
          </cell>
          <cell r="I85" t="str">
            <v>egyptian BT Rosemary</v>
          </cell>
        </row>
        <row r="86">
          <cell r="G86">
            <v>60092810</v>
          </cell>
          <cell r="H86" t="str">
            <v>egyptian BT Sage</v>
          </cell>
          <cell r="I86" t="str">
            <v>egyptian BT Sage</v>
          </cell>
        </row>
        <row r="87">
          <cell r="G87">
            <v>60092806</v>
          </cell>
          <cell r="H87" t="str">
            <v>egyptian BT Slate</v>
          </cell>
          <cell r="I87" t="str">
            <v>egyptian BT Slate</v>
          </cell>
        </row>
        <row r="88">
          <cell r="G88">
            <v>60092965</v>
          </cell>
          <cell r="H88" t="str">
            <v>EGY MS BS 160x90 Umber</v>
          </cell>
          <cell r="I88" t="str">
            <v>EGY MS BS 160x90 Umber</v>
          </cell>
        </row>
        <row r="89">
          <cell r="G89">
            <v>60092955</v>
          </cell>
          <cell r="H89" t="str">
            <v>EGY MS BS 160x90 Soft Teal</v>
          </cell>
          <cell r="I89" t="str">
            <v>EGY MS BS 160x90 Soft Teal</v>
          </cell>
        </row>
        <row r="90">
          <cell r="G90">
            <v>60092948</v>
          </cell>
          <cell r="H90" t="str">
            <v>EGY MS BS 160x90 Ult Marine</v>
          </cell>
          <cell r="I90" t="str">
            <v>EGY MS BS 160x90 Ult Marine</v>
          </cell>
        </row>
        <row r="91">
          <cell r="G91">
            <v>60092946</v>
          </cell>
          <cell r="H91" t="str">
            <v>EGY MS BS 160x90 Fjord</v>
          </cell>
          <cell r="I91" t="str">
            <v>EGY MS BS 160x90 Fjord</v>
          </cell>
        </row>
        <row r="92">
          <cell r="G92">
            <v>60092943</v>
          </cell>
          <cell r="H92" t="str">
            <v>EGY MS BS 160x90 Evergreen</v>
          </cell>
          <cell r="I92" t="str">
            <v>EGY MS BS 160x90 Evergreen</v>
          </cell>
        </row>
        <row r="93">
          <cell r="G93">
            <v>60092940</v>
          </cell>
          <cell r="H93" t="str">
            <v>EGY MS BS 160x90 Light Grey</v>
          </cell>
          <cell r="I93" t="str">
            <v>EGY MS BS 160x90 Light Grey</v>
          </cell>
        </row>
        <row r="94">
          <cell r="G94">
            <v>60092966</v>
          </cell>
          <cell r="H94" t="str">
            <v>EGY MS BS 160x90 Tawny Birch</v>
          </cell>
          <cell r="I94" t="str">
            <v>EGY MS BS 160x90 Tawny Birch</v>
          </cell>
        </row>
        <row r="95">
          <cell r="G95">
            <v>60092938</v>
          </cell>
          <cell r="H95" t="str">
            <v>EGY MS BS 160x90 Amaranth</v>
          </cell>
          <cell r="I95" t="str">
            <v>EGY MS BS 160x90 Amaranth</v>
          </cell>
        </row>
        <row r="96">
          <cell r="G96">
            <v>60092935</v>
          </cell>
          <cell r="H96" t="str">
            <v>EGY MS BS 160x90 Mauve</v>
          </cell>
          <cell r="I96" t="str">
            <v>EGY MS BS 160x90 Mauve</v>
          </cell>
        </row>
        <row r="97">
          <cell r="G97">
            <v>60092931</v>
          </cell>
          <cell r="H97" t="str">
            <v>EGY MS BS 160x90 Mink</v>
          </cell>
          <cell r="I97" t="str">
            <v>EGY MS BS 160x90 Mink</v>
          </cell>
        </row>
        <row r="98">
          <cell r="G98">
            <v>60092967</v>
          </cell>
          <cell r="H98" t="str">
            <v>EGY MS BS 160x90 Damson</v>
          </cell>
          <cell r="I98" t="str">
            <v>EGY MS BS 160x90 Damson</v>
          </cell>
        </row>
        <row r="99">
          <cell r="G99">
            <v>60092968</v>
          </cell>
          <cell r="H99" t="str">
            <v>EGY MS BS 160x90 Soft Yellow</v>
          </cell>
          <cell r="I99" t="str">
            <v>EGY MS BS 160x90 Soft Yellow</v>
          </cell>
        </row>
        <row r="100">
          <cell r="G100">
            <v>60092922</v>
          </cell>
          <cell r="H100" t="str">
            <v>EGY MS BS 160x90 Baked Clay</v>
          </cell>
          <cell r="I100" t="str">
            <v>EGY MS BS 160x90 Baked Clay</v>
          </cell>
        </row>
        <row r="101">
          <cell r="G101">
            <v>60092921</v>
          </cell>
          <cell r="H101" t="str">
            <v>EGY MS BS 160x90 Rosemary</v>
          </cell>
          <cell r="I101" t="str">
            <v>EGY MS BS 160x90 Rosemary</v>
          </cell>
        </row>
        <row r="102">
          <cell r="G102">
            <v>60092907</v>
          </cell>
          <cell r="H102" t="str">
            <v>EGY MS BS 160x90 Sage</v>
          </cell>
          <cell r="I102" t="str">
            <v>EGY MS BS 160x90 Sage</v>
          </cell>
        </row>
        <row r="103">
          <cell r="G103">
            <v>60092969</v>
          </cell>
          <cell r="H103" t="str">
            <v>EGY MS BS 160x90 Slate</v>
          </cell>
          <cell r="I103" t="str">
            <v>EGY MS BS 160x90 Slate</v>
          </cell>
        </row>
        <row r="104">
          <cell r="G104">
            <v>60092601</v>
          </cell>
          <cell r="H104" t="str">
            <v>egyptian gt white</v>
          </cell>
          <cell r="I104" t="str">
            <v>egyptian gt white</v>
          </cell>
        </row>
        <row r="105">
          <cell r="G105">
            <v>60092604</v>
          </cell>
          <cell r="H105" t="str">
            <v>egyptian gt stone</v>
          </cell>
          <cell r="I105" t="str">
            <v>egyptian gt stone</v>
          </cell>
        </row>
        <row r="106">
          <cell r="G106">
            <v>60092605</v>
          </cell>
          <cell r="H106" t="str">
            <v>egyptian cotton gt silv grey</v>
          </cell>
          <cell r="I106" t="str">
            <v>egyptian cotton gt silv grey</v>
          </cell>
        </row>
        <row r="107">
          <cell r="G107">
            <v>60092607</v>
          </cell>
          <cell r="H107" t="str">
            <v>egyptian cotton gt grey dove</v>
          </cell>
          <cell r="I107" t="str">
            <v>egyptian cotton gt grey dove</v>
          </cell>
        </row>
        <row r="108">
          <cell r="G108">
            <v>60092613</v>
          </cell>
          <cell r="H108" t="str">
            <v>Egyptian Dusty GreenGT</v>
          </cell>
          <cell r="I108" t="str">
            <v>Egyptian Dusty GreenGT</v>
          </cell>
        </row>
        <row r="109">
          <cell r="G109">
            <v>60092615</v>
          </cell>
          <cell r="H109" t="str">
            <v>egyptian cotton gt cream</v>
          </cell>
          <cell r="I109" t="str">
            <v>egyptian cotton gt cream</v>
          </cell>
        </row>
        <row r="110">
          <cell r="G110">
            <v>60092616</v>
          </cell>
          <cell r="H110" t="str">
            <v>egyptian cotton gt dk evgren</v>
          </cell>
          <cell r="I110" t="str">
            <v>egyptian cotton gt dk evgren</v>
          </cell>
        </row>
        <row r="111">
          <cell r="G111">
            <v>60092620</v>
          </cell>
          <cell r="H111" t="str">
            <v>Egyptian Dark BlueGT</v>
          </cell>
          <cell r="I111" t="str">
            <v>Egyptian Dark BlueGT</v>
          </cell>
        </row>
        <row r="112">
          <cell r="G112">
            <v>60092625</v>
          </cell>
          <cell r="H112" t="str">
            <v>egyptian gt navy</v>
          </cell>
          <cell r="I112" t="str">
            <v>egyptian gt navy</v>
          </cell>
        </row>
        <row r="113">
          <cell r="G113">
            <v>60092626</v>
          </cell>
          <cell r="H113" t="str">
            <v>egyptian gt pacific</v>
          </cell>
          <cell r="I113" t="str">
            <v>egyptian gt pacific</v>
          </cell>
        </row>
        <row r="114">
          <cell r="G114">
            <v>60092627</v>
          </cell>
          <cell r="H114" t="str">
            <v>egyptian cotton gt smoky gry</v>
          </cell>
          <cell r="I114" t="str">
            <v>egyptian cotton gt smoky gry</v>
          </cell>
        </row>
        <row r="115">
          <cell r="G115">
            <v>60092636</v>
          </cell>
          <cell r="H115" t="str">
            <v>egyptian cotton gt pale pink</v>
          </cell>
          <cell r="I115" t="str">
            <v>egyptian cotton gt pale pink</v>
          </cell>
        </row>
        <row r="116">
          <cell r="G116">
            <v>60092637</v>
          </cell>
          <cell r="H116" t="str">
            <v>egyptian gt black</v>
          </cell>
          <cell r="I116" t="str">
            <v>egyptian gt black</v>
          </cell>
        </row>
        <row r="117">
          <cell r="G117">
            <v>60092639</v>
          </cell>
          <cell r="H117" t="str">
            <v>egyptian cotton gt dark teal</v>
          </cell>
          <cell r="I117" t="str">
            <v>egyptian cotton gt dark teal</v>
          </cell>
        </row>
        <row r="118">
          <cell r="G118">
            <v>60092641</v>
          </cell>
          <cell r="H118" t="str">
            <v>egyptian cotton gt eucalypts</v>
          </cell>
          <cell r="I118" t="str">
            <v>egyptian cotton gt eucalypts</v>
          </cell>
        </row>
        <row r="119">
          <cell r="G119">
            <v>60092644</v>
          </cell>
          <cell r="H119" t="str">
            <v>egyptian cotton gt p pacific</v>
          </cell>
          <cell r="I119" t="str">
            <v>egyptian cotton gt p pacific</v>
          </cell>
        </row>
        <row r="120">
          <cell r="G120">
            <v>60092650</v>
          </cell>
          <cell r="H120" t="str">
            <v>egyptian gt claret</v>
          </cell>
          <cell r="I120" t="str">
            <v>egyptian gt claret</v>
          </cell>
        </row>
        <row r="121">
          <cell r="G121">
            <v>60092673</v>
          </cell>
          <cell r="H121" t="str">
            <v>egyptian gt linen</v>
          </cell>
          <cell r="I121" t="str">
            <v>egyptian gt linen</v>
          </cell>
        </row>
        <row r="122">
          <cell r="G122">
            <v>60092676</v>
          </cell>
          <cell r="H122" t="str">
            <v>egyptian gt dark steel</v>
          </cell>
          <cell r="I122" t="str">
            <v>egyptian gt dark steel</v>
          </cell>
        </row>
        <row r="123">
          <cell r="G123">
            <v>60092678</v>
          </cell>
          <cell r="H123" t="str">
            <v>egyptian gt pale teal</v>
          </cell>
          <cell r="I123" t="str">
            <v>egyptian gt pale teal</v>
          </cell>
        </row>
        <row r="124">
          <cell r="G124">
            <v>60092695</v>
          </cell>
          <cell r="H124" t="str">
            <v>egyptian gt cayenne</v>
          </cell>
          <cell r="I124" t="str">
            <v>egyptian gt cayenne</v>
          </cell>
        </row>
        <row r="125">
          <cell r="G125">
            <v>60092701</v>
          </cell>
          <cell r="H125" t="str">
            <v>egyptian ht white</v>
          </cell>
          <cell r="I125" t="str">
            <v>egyptian ht white</v>
          </cell>
        </row>
        <row r="126">
          <cell r="G126">
            <v>60092704</v>
          </cell>
          <cell r="H126" t="str">
            <v>egyptian ht stone</v>
          </cell>
          <cell r="I126" t="str">
            <v>egyptian ht stone</v>
          </cell>
        </row>
        <row r="127">
          <cell r="G127">
            <v>60092705</v>
          </cell>
          <cell r="H127" t="str">
            <v>egyptian cotton ht silv grey</v>
          </cell>
          <cell r="I127" t="str">
            <v>egyptian cotton ht silv grey</v>
          </cell>
        </row>
        <row r="128">
          <cell r="G128">
            <v>60092707</v>
          </cell>
          <cell r="H128" t="str">
            <v>egyptian cotton ht grey dove</v>
          </cell>
          <cell r="I128" t="str">
            <v>egyptian cotton ht grey dove</v>
          </cell>
        </row>
        <row r="129">
          <cell r="G129">
            <v>60092712</v>
          </cell>
          <cell r="H129" t="str">
            <v>egyptian cotton ht dk evgren</v>
          </cell>
          <cell r="I129" t="str">
            <v>egyptian cotton ht dk evgren</v>
          </cell>
        </row>
        <row r="130">
          <cell r="G130">
            <v>60092713</v>
          </cell>
          <cell r="H130" t="str">
            <v>egyptian cotton ht cream</v>
          </cell>
          <cell r="I130" t="str">
            <v>egyptian cotton ht cream</v>
          </cell>
        </row>
        <row r="131">
          <cell r="G131">
            <v>60092716</v>
          </cell>
          <cell r="H131" t="str">
            <v>Egyptian Dusty Green HT</v>
          </cell>
          <cell r="I131" t="str">
            <v>Egyptian Dusty Green HT</v>
          </cell>
        </row>
        <row r="132">
          <cell r="G132">
            <v>60092720</v>
          </cell>
          <cell r="H132" t="str">
            <v>Egyptian Dark Blue HT</v>
          </cell>
          <cell r="I132" t="str">
            <v>Egyptian Dark Blue HT</v>
          </cell>
        </row>
        <row r="133">
          <cell r="G133">
            <v>60092725</v>
          </cell>
          <cell r="H133" t="str">
            <v>egyptian ht navy</v>
          </cell>
          <cell r="I133" t="str">
            <v>egyptian ht navy</v>
          </cell>
        </row>
        <row r="134">
          <cell r="G134">
            <v>60092726</v>
          </cell>
          <cell r="H134" t="str">
            <v>egyptian ht pacific</v>
          </cell>
          <cell r="I134" t="str">
            <v>egyptian ht pacific</v>
          </cell>
        </row>
        <row r="135">
          <cell r="G135">
            <v>60092727</v>
          </cell>
          <cell r="H135" t="str">
            <v>egyptian cotton ht smokey gy</v>
          </cell>
          <cell r="I135" t="str">
            <v>egyptian cotton ht smokey gy</v>
          </cell>
        </row>
        <row r="136">
          <cell r="G136">
            <v>60092736</v>
          </cell>
          <cell r="H136" t="str">
            <v>egyptian cotton ht pale pink</v>
          </cell>
          <cell r="I136" t="str">
            <v>egyptian cotton ht pale pink</v>
          </cell>
        </row>
        <row r="137">
          <cell r="G137">
            <v>60092737</v>
          </cell>
          <cell r="H137" t="str">
            <v>egyptian ht black</v>
          </cell>
          <cell r="I137" t="str">
            <v>egyptian ht black</v>
          </cell>
        </row>
        <row r="138">
          <cell r="G138">
            <v>60092739</v>
          </cell>
          <cell r="H138" t="str">
            <v>egyptian cotton ht dark teal</v>
          </cell>
          <cell r="I138" t="str">
            <v>egyptian cotton ht dark teal</v>
          </cell>
        </row>
        <row r="139">
          <cell r="G139">
            <v>60092741</v>
          </cell>
          <cell r="H139" t="str">
            <v>egyptian cotton ht eucalypts</v>
          </cell>
          <cell r="I139" t="str">
            <v>egyptian cotton ht eucalypts</v>
          </cell>
        </row>
        <row r="140">
          <cell r="G140">
            <v>60092744</v>
          </cell>
          <cell r="H140" t="str">
            <v>egyptian cotton ht p pacific</v>
          </cell>
          <cell r="I140" t="str">
            <v>egyptian cotton ht p pacific</v>
          </cell>
        </row>
        <row r="141">
          <cell r="G141">
            <v>60092750</v>
          </cell>
          <cell r="H141" t="str">
            <v>egyptian ht claret</v>
          </cell>
          <cell r="I141" t="str">
            <v>egyptian ht claret</v>
          </cell>
        </row>
        <row r="142">
          <cell r="G142">
            <v>60092773</v>
          </cell>
          <cell r="H142" t="str">
            <v>egyptian ht linen</v>
          </cell>
          <cell r="I142" t="str">
            <v>egyptian ht linen</v>
          </cell>
        </row>
        <row r="143">
          <cell r="G143">
            <v>60092776</v>
          </cell>
          <cell r="H143" t="str">
            <v>egyptian ht dark steel</v>
          </cell>
          <cell r="I143" t="str">
            <v>egyptian ht dark steel</v>
          </cell>
        </row>
        <row r="144">
          <cell r="G144">
            <v>60092778</v>
          </cell>
          <cell r="H144" t="str">
            <v>egyptian ht pale teal</v>
          </cell>
          <cell r="I144" t="str">
            <v>egyptian ht pale teal</v>
          </cell>
        </row>
        <row r="145">
          <cell r="G145">
            <v>60092796</v>
          </cell>
          <cell r="H145" t="str">
            <v>egyptian ht cayenne</v>
          </cell>
          <cell r="I145" t="str">
            <v>egyptian ht cayenne</v>
          </cell>
        </row>
        <row r="146">
          <cell r="G146">
            <v>60092801</v>
          </cell>
          <cell r="H146" t="str">
            <v>#egyptian bt white</v>
          </cell>
          <cell r="I146" t="str">
            <v>#egyptian bt white</v>
          </cell>
        </row>
        <row r="147">
          <cell r="G147">
            <v>60092804</v>
          </cell>
          <cell r="H147" t="str">
            <v>egyptian bt stone</v>
          </cell>
          <cell r="I147" t="str">
            <v>egyptian bt stone</v>
          </cell>
        </row>
        <row r="148">
          <cell r="G148">
            <v>60092805</v>
          </cell>
          <cell r="H148" t="str">
            <v>egyptian cotton bt silv grey</v>
          </cell>
          <cell r="I148" t="str">
            <v>egyptian cotton bt silv grey</v>
          </cell>
        </row>
        <row r="149">
          <cell r="G149">
            <v>60092808</v>
          </cell>
          <cell r="H149" t="str">
            <v>egyptian cotton bt grey dove</v>
          </cell>
          <cell r="I149" t="str">
            <v>egyptian cotton bt grey dove</v>
          </cell>
        </row>
        <row r="150">
          <cell r="G150">
            <v>60092813</v>
          </cell>
          <cell r="H150" t="str">
            <v>egyptian cotton bt cream</v>
          </cell>
          <cell r="I150" t="str">
            <v>egyptian cotton bt cream</v>
          </cell>
        </row>
        <row r="151">
          <cell r="G151">
            <v>60092814</v>
          </cell>
          <cell r="H151" t="str">
            <v>egyptian cotton bt dk evgren</v>
          </cell>
          <cell r="I151" t="str">
            <v>egyptian cotton bt dk evgren</v>
          </cell>
        </row>
        <row r="152">
          <cell r="G152">
            <v>60092816</v>
          </cell>
          <cell r="H152" t="str">
            <v>Egyptian Dusty Green BT</v>
          </cell>
          <cell r="I152" t="str">
            <v>Egyptian Dusty Green BT</v>
          </cell>
        </row>
        <row r="153">
          <cell r="G153">
            <v>60092822</v>
          </cell>
          <cell r="H153" t="str">
            <v>Egyptian Dark Blue BT</v>
          </cell>
          <cell r="I153" t="str">
            <v>Egyptian Dark Blue BT</v>
          </cell>
        </row>
        <row r="154">
          <cell r="G154">
            <v>60092825</v>
          </cell>
          <cell r="H154" t="str">
            <v>egyptian bt navy</v>
          </cell>
          <cell r="I154" t="str">
            <v>egyptian bt navy</v>
          </cell>
        </row>
        <row r="155">
          <cell r="G155">
            <v>60092826</v>
          </cell>
          <cell r="H155" t="str">
            <v>egyptian bt pacific</v>
          </cell>
          <cell r="I155" t="str">
            <v>egyptian bt pacific</v>
          </cell>
        </row>
        <row r="156">
          <cell r="G156">
            <v>60092827</v>
          </cell>
          <cell r="H156" t="str">
            <v>egyptian cotton bt smokey gy</v>
          </cell>
          <cell r="I156" t="str">
            <v>egyptian cotton bt smokey gy</v>
          </cell>
        </row>
        <row r="157">
          <cell r="G157">
            <v>60092836</v>
          </cell>
          <cell r="H157" t="str">
            <v>egyptian cotton bt pale pink</v>
          </cell>
          <cell r="I157" t="str">
            <v>egyptian cotton bt pale pink</v>
          </cell>
        </row>
        <row r="158">
          <cell r="G158">
            <v>60092837</v>
          </cell>
          <cell r="H158" t="str">
            <v>egyptian bt black</v>
          </cell>
          <cell r="I158" t="str">
            <v>egyptian bt black</v>
          </cell>
        </row>
        <row r="159">
          <cell r="G159">
            <v>60092839</v>
          </cell>
          <cell r="H159" t="str">
            <v>egyptian cotton bt dark teal</v>
          </cell>
          <cell r="I159" t="str">
            <v>egyptian cotton bt dark teal</v>
          </cell>
        </row>
        <row r="160">
          <cell r="G160">
            <v>60092841</v>
          </cell>
          <cell r="H160" t="str">
            <v>egyptian cotton bt eucalypts</v>
          </cell>
          <cell r="I160" t="str">
            <v>egyptian cotton bt eucalypts</v>
          </cell>
        </row>
        <row r="161">
          <cell r="G161">
            <v>60092844</v>
          </cell>
          <cell r="H161" t="str">
            <v>egyptian cotton bt p pacific</v>
          </cell>
          <cell r="I161" t="str">
            <v>egyptian cotton bt p pacific</v>
          </cell>
        </row>
        <row r="162">
          <cell r="G162">
            <v>60092850</v>
          </cell>
          <cell r="H162" t="str">
            <v>egyptian bt claret</v>
          </cell>
          <cell r="I162" t="str">
            <v>egyptian bt claret</v>
          </cell>
        </row>
        <row r="163">
          <cell r="G163">
            <v>60092873</v>
          </cell>
          <cell r="H163" t="str">
            <v>egyptian bt linen</v>
          </cell>
          <cell r="I163" t="str">
            <v>egyptian bt linen</v>
          </cell>
        </row>
        <row r="164">
          <cell r="G164">
            <v>60092876</v>
          </cell>
          <cell r="H164" t="str">
            <v>#egyptian bt dark steel</v>
          </cell>
          <cell r="I164" t="str">
            <v>#egyptian bt dark steel</v>
          </cell>
        </row>
        <row r="165">
          <cell r="G165">
            <v>60092878</v>
          </cell>
          <cell r="H165" t="str">
            <v>egyptian bt pale teal</v>
          </cell>
          <cell r="I165" t="str">
            <v>egyptian bt pale teal</v>
          </cell>
        </row>
        <row r="166">
          <cell r="G166">
            <v>60092897</v>
          </cell>
          <cell r="H166" t="str">
            <v>egyptian bt cayenne</v>
          </cell>
          <cell r="I166" t="str">
            <v>egyptian bt cayenne</v>
          </cell>
        </row>
        <row r="167">
          <cell r="G167">
            <v>60092901</v>
          </cell>
          <cell r="H167" t="str">
            <v>egyptian bs white</v>
          </cell>
          <cell r="I167" t="str">
            <v>egyptian bs white</v>
          </cell>
        </row>
        <row r="168">
          <cell r="G168">
            <v>60092904</v>
          </cell>
          <cell r="H168" t="str">
            <v>egyptian bs stone</v>
          </cell>
          <cell r="I168" t="str">
            <v>egyptian bs stone</v>
          </cell>
        </row>
        <row r="169">
          <cell r="G169">
            <v>60092905</v>
          </cell>
          <cell r="H169" t="str">
            <v>egyptian cotton bs silv grey</v>
          </cell>
          <cell r="I169" t="str">
            <v>egyptian cotton bs silv grey</v>
          </cell>
        </row>
        <row r="170">
          <cell r="G170">
            <v>60092908</v>
          </cell>
          <cell r="H170" t="str">
            <v>egyptian cotton bs grey dove</v>
          </cell>
          <cell r="I170" t="str">
            <v>egyptian cotton bs grey dove</v>
          </cell>
        </row>
        <row r="171">
          <cell r="G171">
            <v>60092912</v>
          </cell>
          <cell r="H171" t="str">
            <v>egyptian cotton bs cream</v>
          </cell>
          <cell r="I171" t="str">
            <v>egyptian cotton bs cream</v>
          </cell>
        </row>
        <row r="172">
          <cell r="G172">
            <v>60092913</v>
          </cell>
          <cell r="H172" t="str">
            <v>egyptian cotton bs dk evgren</v>
          </cell>
          <cell r="I172" t="str">
            <v>egyptian cotton bs dk evgren</v>
          </cell>
        </row>
        <row r="173">
          <cell r="G173">
            <v>60092914</v>
          </cell>
          <cell r="H173" t="str">
            <v>Egyptian Dusty Green BS</v>
          </cell>
          <cell r="I173" t="str">
            <v>Egyptian Dusty Green BS</v>
          </cell>
        </row>
        <row r="174">
          <cell r="G174">
            <v>60092916</v>
          </cell>
          <cell r="H174" t="str">
            <v>Egyptian Dark Blue BS</v>
          </cell>
          <cell r="I174" t="str">
            <v>Egyptian Dark Blue BS</v>
          </cell>
        </row>
        <row r="175">
          <cell r="G175">
            <v>60092925</v>
          </cell>
          <cell r="H175" t="str">
            <v>egyptian bs navy</v>
          </cell>
          <cell r="I175" t="str">
            <v>egyptian bs navy</v>
          </cell>
        </row>
        <row r="176">
          <cell r="G176">
            <v>60092926</v>
          </cell>
          <cell r="H176" t="str">
            <v>egyptian bs pacific</v>
          </cell>
          <cell r="I176" t="str">
            <v>egyptian bs pacific</v>
          </cell>
        </row>
        <row r="177">
          <cell r="G177">
            <v>60092927</v>
          </cell>
          <cell r="H177" t="str">
            <v>egyptian cotton bs smokey gy</v>
          </cell>
          <cell r="I177" t="str">
            <v>egyptian cotton bs smokey gy</v>
          </cell>
        </row>
        <row r="178">
          <cell r="G178">
            <v>60092936</v>
          </cell>
          <cell r="H178" t="str">
            <v>egyptian cotton bs pale pink</v>
          </cell>
          <cell r="I178" t="str">
            <v>egyptian cotton bs pale pink</v>
          </cell>
        </row>
        <row r="179">
          <cell r="G179">
            <v>60092937</v>
          </cell>
          <cell r="H179" t="str">
            <v>egyptian bs black</v>
          </cell>
          <cell r="I179" t="str">
            <v>egyptian bs black</v>
          </cell>
        </row>
        <row r="180">
          <cell r="G180">
            <v>60092939</v>
          </cell>
          <cell r="H180" t="str">
            <v>egyptian cotton bs dark teal</v>
          </cell>
          <cell r="I180" t="str">
            <v>egyptian cotton bs dark teal</v>
          </cell>
        </row>
        <row r="181">
          <cell r="G181">
            <v>60092941</v>
          </cell>
          <cell r="H181" t="str">
            <v>egyptian cotton bs eucalypts</v>
          </cell>
          <cell r="I181" t="str">
            <v>egyptian cotton bs eucalypts</v>
          </cell>
        </row>
        <row r="182">
          <cell r="G182">
            <v>60092944</v>
          </cell>
          <cell r="H182" t="str">
            <v>egyptian cotton bs p pacific</v>
          </cell>
          <cell r="I182" t="str">
            <v>egyptian cotton bs p pacific</v>
          </cell>
        </row>
        <row r="183">
          <cell r="G183">
            <v>60092950</v>
          </cell>
          <cell r="H183" t="str">
            <v>egyptian bs claret</v>
          </cell>
          <cell r="I183" t="str">
            <v>egyptian bs claret</v>
          </cell>
        </row>
        <row r="184">
          <cell r="G184">
            <v>60092973</v>
          </cell>
          <cell r="H184" t="str">
            <v>egyptian bs linen</v>
          </cell>
          <cell r="I184" t="str">
            <v>egyptian bs linen</v>
          </cell>
        </row>
        <row r="185">
          <cell r="G185">
            <v>60092976</v>
          </cell>
          <cell r="H185" t="str">
            <v>#egyptian bs dark steel</v>
          </cell>
          <cell r="I185" t="str">
            <v>#egyptian bs dark steel</v>
          </cell>
        </row>
        <row r="186">
          <cell r="G186">
            <v>60092978</v>
          </cell>
          <cell r="H186" t="str">
            <v>egyptian bs pale teal</v>
          </cell>
          <cell r="I186" t="str">
            <v>egyptian bs pale teal</v>
          </cell>
        </row>
        <row r="187">
          <cell r="G187">
            <v>60092998</v>
          </cell>
          <cell r="H187" t="str">
            <v>egyptian bs cayenne</v>
          </cell>
          <cell r="I187" t="str">
            <v>egyptian bs cayenne</v>
          </cell>
        </row>
        <row r="188">
          <cell r="G188">
            <v>60093401</v>
          </cell>
          <cell r="H188" t="str">
            <v>#egyptian xl sheet white</v>
          </cell>
          <cell r="I188" t="str">
            <v>#egyptian xl sheet white</v>
          </cell>
        </row>
        <row r="189">
          <cell r="G189">
            <v>60093411</v>
          </cell>
          <cell r="H189" t="str">
            <v>egyptian xl sheet pacific</v>
          </cell>
          <cell r="I189" t="str">
            <v>egyptian xl sheet pacific</v>
          </cell>
        </row>
        <row r="190">
          <cell r="G190">
            <v>60093414</v>
          </cell>
          <cell r="H190" t="str">
            <v>egyptian xl sheet linen</v>
          </cell>
          <cell r="I190" t="str">
            <v>egyptian xl sheet linen</v>
          </cell>
        </row>
        <row r="191">
          <cell r="G191">
            <v>60093415</v>
          </cell>
          <cell r="H191" t="str">
            <v>egyptian xl sheet dark steel</v>
          </cell>
          <cell r="I191" t="str">
            <v>egyptian xl sheet dark steel</v>
          </cell>
        </row>
        <row r="192">
          <cell r="G192">
            <v>60093416</v>
          </cell>
          <cell r="H192" t="str">
            <v>egyptian xl sheet dove</v>
          </cell>
          <cell r="I192" t="str">
            <v>egyptian xl sheet dove</v>
          </cell>
        </row>
        <row r="193">
          <cell r="G193">
            <v>60093425</v>
          </cell>
          <cell r="H193" t="str">
            <v>egyptian xl sheet navy</v>
          </cell>
          <cell r="I193" t="str">
            <v>egyptian xl sheet navy</v>
          </cell>
        </row>
        <row r="194">
          <cell r="G194">
            <v>60093413</v>
          </cell>
          <cell r="H194" t="str">
            <v>egyptian xl sheet Dark teal</v>
          </cell>
          <cell r="I194" t="str">
            <v>egyptian xl sheet Dark teal</v>
          </cell>
        </row>
        <row r="195">
          <cell r="G195">
            <v>60099501</v>
          </cell>
          <cell r="H195" t="str">
            <v>egyptian fc x2 black</v>
          </cell>
          <cell r="I195" t="str">
            <v>egyptian fc x2 black</v>
          </cell>
        </row>
        <row r="196">
          <cell r="G196">
            <v>60099505</v>
          </cell>
          <cell r="H196" t="str">
            <v>egyptian fc x2 p pacific</v>
          </cell>
          <cell r="I196" t="str">
            <v>egyptian fc x2 p pacific</v>
          </cell>
        </row>
        <row r="197">
          <cell r="G197">
            <v>60099506</v>
          </cell>
          <cell r="H197" t="str">
            <v>egyptian fc x2 pacific</v>
          </cell>
          <cell r="I197" t="str">
            <v>egyptian fc x2 pacific</v>
          </cell>
        </row>
        <row r="198">
          <cell r="G198">
            <v>60099507</v>
          </cell>
          <cell r="H198" t="str">
            <v>egyptian fc x2 navy</v>
          </cell>
          <cell r="I198" t="str">
            <v>egyptian fc x2 navy</v>
          </cell>
        </row>
        <row r="199">
          <cell r="G199">
            <v>60099508</v>
          </cell>
          <cell r="H199" t="str">
            <v>egyptian fc x2 dk teal</v>
          </cell>
          <cell r="I199" t="str">
            <v>egyptian fc x2 dk teal</v>
          </cell>
        </row>
        <row r="200">
          <cell r="G200">
            <v>60099512</v>
          </cell>
          <cell r="H200" t="str">
            <v>egyptian fc x2 eucalyptus</v>
          </cell>
          <cell r="I200" t="str">
            <v>egyptian fc x2 eucalyptus</v>
          </cell>
        </row>
        <row r="201">
          <cell r="G201">
            <v>60099513</v>
          </cell>
          <cell r="H201" t="str">
            <v>egyptian fc x2 pale teal</v>
          </cell>
          <cell r="I201" t="str">
            <v>egyptian fc x2 pale teal</v>
          </cell>
        </row>
        <row r="202">
          <cell r="G202">
            <v>60099516</v>
          </cell>
          <cell r="H202" t="str">
            <v>egyptian fc x2 smokey grey</v>
          </cell>
          <cell r="I202" t="str">
            <v>egyptian fc x2 smokey grey</v>
          </cell>
        </row>
        <row r="203">
          <cell r="G203">
            <v>60099517</v>
          </cell>
          <cell r="H203" t="str">
            <v>egyptian fc x2 dk stel</v>
          </cell>
          <cell r="I203" t="str">
            <v>egyptian fc x2 dk stel</v>
          </cell>
        </row>
        <row r="204">
          <cell r="G204">
            <v>60099519</v>
          </cell>
          <cell r="H204" t="str">
            <v>egyptian fc x2 linen</v>
          </cell>
          <cell r="I204" t="str">
            <v>egyptian fc x2 linen</v>
          </cell>
        </row>
        <row r="205">
          <cell r="G205">
            <v>60099520</v>
          </cell>
          <cell r="H205" t="str">
            <v>egyptian fc x2 stone</v>
          </cell>
          <cell r="I205" t="str">
            <v>egyptian fc x2 stone</v>
          </cell>
        </row>
        <row r="206">
          <cell r="G206">
            <v>60099521</v>
          </cell>
          <cell r="H206" t="str">
            <v>egyptian fc x2 cayenne</v>
          </cell>
          <cell r="I206" t="str">
            <v>egyptian fc x2 cayenne</v>
          </cell>
        </row>
        <row r="207">
          <cell r="G207">
            <v>60099523</v>
          </cell>
          <cell r="H207" t="str">
            <v>egyptian fc x2 pale pink</v>
          </cell>
          <cell r="I207" t="str">
            <v>egyptian fc x2 pale pink</v>
          </cell>
        </row>
        <row r="208">
          <cell r="G208">
            <v>60099526</v>
          </cell>
          <cell r="H208" t="str">
            <v>egyptian fc x2 claret</v>
          </cell>
          <cell r="I208" t="str">
            <v>egyptian fc x2 claret</v>
          </cell>
        </row>
        <row r="209">
          <cell r="G209">
            <v>60099528</v>
          </cell>
          <cell r="H209" t="str">
            <v>egyptian fc x2 white</v>
          </cell>
          <cell r="I209" t="str">
            <v>egyptian fc x2 white</v>
          </cell>
        </row>
        <row r="210">
          <cell r="G210">
            <v>60099531</v>
          </cell>
          <cell r="H210" t="str">
            <v>egyptian fc x2 silv grey</v>
          </cell>
          <cell r="I210" t="str">
            <v>egyptian fc x2 silv grey</v>
          </cell>
        </row>
        <row r="211">
          <cell r="G211">
            <v>60099535</v>
          </cell>
          <cell r="H211" t="str">
            <v>egyptian fc x2 dk evgren</v>
          </cell>
          <cell r="I211" t="str">
            <v>egyptian fc x2 dk evgren</v>
          </cell>
        </row>
        <row r="212">
          <cell r="G212">
            <v>60099536</v>
          </cell>
          <cell r="H212" t="str">
            <v>egyptian fc x2 grey dove</v>
          </cell>
          <cell r="I212" t="str">
            <v>egyptian fc x2 grey dove</v>
          </cell>
        </row>
        <row r="213">
          <cell r="G213">
            <v>60099537</v>
          </cell>
          <cell r="H213" t="str">
            <v>egyptian fc x2 cream</v>
          </cell>
          <cell r="I213" t="str">
            <v>egyptian fc x2 cream</v>
          </cell>
        </row>
        <row r="214">
          <cell r="G214">
            <v>60099538</v>
          </cell>
          <cell r="H214" t="str">
            <v>Egyptian Dark Blue FC X 2</v>
          </cell>
          <cell r="I214" t="str">
            <v>Egyptian Dark Blue FC X 2</v>
          </cell>
        </row>
        <row r="215">
          <cell r="G215">
            <v>60099539</v>
          </cell>
          <cell r="H215" t="str">
            <v>Egyptian Dusty Green FC X 2</v>
          </cell>
          <cell r="I215" t="str">
            <v>Egyptian Dusty Green FC X 2</v>
          </cell>
        </row>
        <row r="216">
          <cell r="G216">
            <v>60092506</v>
          </cell>
          <cell r="H216" t="str">
            <v>EGY FC S/2, Dessert Sand</v>
          </cell>
          <cell r="I216" t="str">
            <v>EGY FC S/2, Dessert Sand</v>
          </cell>
        </row>
        <row r="217">
          <cell r="G217">
            <v>60092756</v>
          </cell>
          <cell r="H217" t="str">
            <v>EGY HT, Dessert Sand</v>
          </cell>
          <cell r="I217" t="str">
            <v>EGY HT, Dessert Sand</v>
          </cell>
        </row>
        <row r="218">
          <cell r="G218">
            <v>60092663</v>
          </cell>
          <cell r="H218" t="str">
            <v>EGY GT, Dessert Sand</v>
          </cell>
          <cell r="I218" t="str">
            <v>EGY GT, Dessert Sand</v>
          </cell>
        </row>
        <row r="219">
          <cell r="G219">
            <v>60092861</v>
          </cell>
          <cell r="H219" t="str">
            <v>EGY BT, Dessert Sand</v>
          </cell>
          <cell r="I219" t="str">
            <v>EGY BT, Dessert Sand</v>
          </cell>
        </row>
        <row r="220">
          <cell r="G220">
            <v>60092945</v>
          </cell>
          <cell r="H220" t="str">
            <v>EGY BS, Dessert Sand</v>
          </cell>
          <cell r="I220" t="str">
            <v>EGY BS, Dessert Sand</v>
          </cell>
        </row>
        <row r="221">
          <cell r="G221">
            <v>60092507</v>
          </cell>
          <cell r="H221" t="str">
            <v>EGY FC S/2, Raw Sienna</v>
          </cell>
          <cell r="I221" t="str">
            <v>EGY FC S/2, Raw Sienna</v>
          </cell>
        </row>
        <row r="222">
          <cell r="G222">
            <v>60092763</v>
          </cell>
          <cell r="H222" t="str">
            <v>EGY HT, Raw Sienna</v>
          </cell>
          <cell r="I222" t="str">
            <v>EGY HT, Raw Sienna</v>
          </cell>
        </row>
        <row r="223">
          <cell r="G223">
            <v>60092664</v>
          </cell>
          <cell r="H223" t="str">
            <v>EGY GT, Raw Sienna</v>
          </cell>
          <cell r="I223" t="str">
            <v>EGY GT, Raw Sienna</v>
          </cell>
        </row>
        <row r="224">
          <cell r="G224">
            <v>60092863</v>
          </cell>
          <cell r="H224" t="str">
            <v>EGY BT, Raw Sienna</v>
          </cell>
          <cell r="I224" t="str">
            <v>EGY BT, Raw Sienna</v>
          </cell>
        </row>
        <row r="225">
          <cell r="G225">
            <v>60092964</v>
          </cell>
          <cell r="H225" t="str">
            <v>EGY BS, Raw Sienna</v>
          </cell>
          <cell r="I225" t="str">
            <v>EGY BS, Raw Sienna</v>
          </cell>
        </row>
        <row r="226">
          <cell r="G226">
            <v>60092505</v>
          </cell>
          <cell r="H226" t="str">
            <v>EGY FC S/2, Harvest Gold</v>
          </cell>
          <cell r="I226" t="str">
            <v>EGY FC S/2, Harvest Gold</v>
          </cell>
        </row>
        <row r="227">
          <cell r="G227">
            <v>60092702</v>
          </cell>
          <cell r="H227" t="str">
            <v>EGY HT, Harvest Gold</v>
          </cell>
          <cell r="I227" t="str">
            <v>EGY HT, Harvest Gold</v>
          </cell>
        </row>
        <row r="228">
          <cell r="G228">
            <v>60092617</v>
          </cell>
          <cell r="H228" t="str">
            <v>EGY GT, Harvest Gold</v>
          </cell>
          <cell r="I228" t="str">
            <v>EGY GT, Harvest Gold</v>
          </cell>
        </row>
        <row r="229">
          <cell r="G229">
            <v>60092802</v>
          </cell>
          <cell r="H229" t="str">
            <v>EGY BT, Harvest Gold</v>
          </cell>
          <cell r="I229" t="str">
            <v>EGY BT, Harvest Gold</v>
          </cell>
        </row>
        <row r="230">
          <cell r="G230">
            <v>60092910</v>
          </cell>
          <cell r="H230" t="str">
            <v>EGY BS, Harvest Gold</v>
          </cell>
          <cell r="I230" t="str">
            <v>EGY BS, Harvest Gold</v>
          </cell>
        </row>
        <row r="231">
          <cell r="G231">
            <v>60092503</v>
          </cell>
          <cell r="H231" t="str">
            <v>EGY FC S/2, Jadette</v>
          </cell>
          <cell r="I231" t="str">
            <v>EGY FC S/2, Jadette</v>
          </cell>
        </row>
        <row r="232">
          <cell r="G232">
            <v>60092717</v>
          </cell>
          <cell r="H232" t="str">
            <v>EGY HT, Jadette</v>
          </cell>
          <cell r="I232" t="str">
            <v>EGY HT, Jadette</v>
          </cell>
        </row>
        <row r="233">
          <cell r="G233">
            <v>60092656</v>
          </cell>
          <cell r="H233" t="str">
            <v>EGY GT, Jadette</v>
          </cell>
          <cell r="I233" t="str">
            <v>EGY GT, Jadette</v>
          </cell>
        </row>
        <row r="234">
          <cell r="G234">
            <v>60092860</v>
          </cell>
          <cell r="H234" t="str">
            <v>EGY BT,Jadette</v>
          </cell>
          <cell r="I234" t="str">
            <v>EGY BT,Jadette</v>
          </cell>
        </row>
        <row r="235">
          <cell r="G235">
            <v>60092928</v>
          </cell>
          <cell r="H235" t="str">
            <v>EGY BS, Jadette</v>
          </cell>
          <cell r="I235" t="str">
            <v>EGY BS, Jadette</v>
          </cell>
        </row>
        <row r="236">
          <cell r="G236">
            <v>60020304</v>
          </cell>
          <cell r="H236" t="str">
            <v>Supersoft Dove BM</v>
          </cell>
          <cell r="I236" t="str">
            <v>Supersoft Dove BM</v>
          </cell>
        </row>
        <row r="237">
          <cell r="G237">
            <v>60020305</v>
          </cell>
          <cell r="H237" t="str">
            <v>Supersoft Silver Grey BM</v>
          </cell>
          <cell r="I237" t="str">
            <v>Supersoft Silver Grey BM</v>
          </cell>
        </row>
        <row r="238">
          <cell r="G238">
            <v>60020306</v>
          </cell>
          <cell r="H238" t="str">
            <v>Supersoft Stone BM</v>
          </cell>
          <cell r="I238" t="str">
            <v>Supersoft Stone BM</v>
          </cell>
        </row>
        <row r="239">
          <cell r="G239">
            <v>60020307</v>
          </cell>
          <cell r="H239" t="str">
            <v>Supersoft White BM</v>
          </cell>
          <cell r="I239" t="str">
            <v>Supersoft White BM</v>
          </cell>
        </row>
        <row r="240">
          <cell r="G240">
            <v>60028201</v>
          </cell>
          <cell r="H240" t="str">
            <v/>
          </cell>
          <cell r="I240" t="str">
            <v>egyptian cotton terry bath mat black</v>
          </cell>
        </row>
        <row r="241">
          <cell r="G241">
            <v>60028202</v>
          </cell>
          <cell r="H241" t="str">
            <v/>
          </cell>
          <cell r="I241" t="str">
            <v>egyptian cotton terry bath mat bluebell</v>
          </cell>
        </row>
        <row r="242">
          <cell r="G242">
            <v>60028203</v>
          </cell>
          <cell r="H242" t="str">
            <v/>
          </cell>
          <cell r="I242" t="str">
            <v>egyptian cotton terry bath mat  pacific</v>
          </cell>
        </row>
        <row r="243">
          <cell r="G243">
            <v>60028204</v>
          </cell>
          <cell r="H243" t="str">
            <v/>
          </cell>
          <cell r="I243" t="str">
            <v>egyptian cotton terry bath mat pale pacific</v>
          </cell>
        </row>
        <row r="244">
          <cell r="G244">
            <v>60028205</v>
          </cell>
          <cell r="H244" t="str">
            <v/>
          </cell>
          <cell r="I244" t="str">
            <v>egyptian cotton terry bath mat sapphire</v>
          </cell>
        </row>
        <row r="245">
          <cell r="G245">
            <v>60028206</v>
          </cell>
          <cell r="H245" t="str">
            <v/>
          </cell>
          <cell r="I245" t="str">
            <v>egyptian cotton terry bath mat navy</v>
          </cell>
        </row>
        <row r="246">
          <cell r="G246">
            <v>60028207</v>
          </cell>
          <cell r="H246" t="str">
            <v/>
          </cell>
          <cell r="I246" t="str">
            <v>egyptian cotton terry bath mat pale teal</v>
          </cell>
        </row>
        <row r="247">
          <cell r="G247">
            <v>60028208</v>
          </cell>
          <cell r="H247" t="str">
            <v/>
          </cell>
          <cell r="I247" t="str">
            <v>egyptian cotton terry bath mat dark evgren</v>
          </cell>
        </row>
        <row r="248">
          <cell r="G248">
            <v>60028209</v>
          </cell>
          <cell r="H248" t="str">
            <v>egyptian cotton bm eucalyptu</v>
          </cell>
          <cell r="I248" t="str">
            <v>egyptian cotton bm eucalyptu</v>
          </cell>
        </row>
        <row r="249">
          <cell r="G249">
            <v>60028212</v>
          </cell>
          <cell r="H249" t="str">
            <v/>
          </cell>
          <cell r="I249" t="str">
            <v>egyptian cotton terry bath mat dark teal</v>
          </cell>
        </row>
        <row r="250">
          <cell r="G250">
            <v>60028213</v>
          </cell>
          <cell r="H250" t="str">
            <v/>
          </cell>
          <cell r="I250" t="str">
            <v>egyptian cotton terry bath mat grey dove</v>
          </cell>
        </row>
        <row r="251">
          <cell r="G251">
            <v>60028214</v>
          </cell>
          <cell r="H251" t="str">
            <v/>
          </cell>
          <cell r="I251" t="str">
            <v>egyptian cotton terry bath mat silv grey</v>
          </cell>
        </row>
        <row r="252">
          <cell r="G252">
            <v>60028215</v>
          </cell>
          <cell r="H252" t="str">
            <v/>
          </cell>
          <cell r="I252" t="str">
            <v>egyptian cotton terry bath mat smoke</v>
          </cell>
        </row>
        <row r="253">
          <cell r="G253">
            <v>60028216</v>
          </cell>
          <cell r="H253" t="str">
            <v/>
          </cell>
          <cell r="I253" t="str">
            <v>egyptian cotton terry bath mat dk steel</v>
          </cell>
        </row>
        <row r="254">
          <cell r="G254">
            <v>60028217</v>
          </cell>
          <cell r="H254" t="str">
            <v/>
          </cell>
          <cell r="I254" t="str">
            <v>egyptian cotton terry bath mat  cream</v>
          </cell>
        </row>
        <row r="255">
          <cell r="G255">
            <v>60028218</v>
          </cell>
          <cell r="H255" t="str">
            <v/>
          </cell>
          <cell r="I255" t="str">
            <v>egyptian cotton terry bath mat linen</v>
          </cell>
        </row>
        <row r="256">
          <cell r="G256">
            <v>60028219</v>
          </cell>
          <cell r="H256" t="str">
            <v/>
          </cell>
          <cell r="I256" t="str">
            <v>egyptian cotton terry bath mat stone</v>
          </cell>
        </row>
        <row r="257">
          <cell r="G257">
            <v>60028220</v>
          </cell>
          <cell r="H257" t="str">
            <v/>
          </cell>
          <cell r="I257" t="str">
            <v>egyptian cotton terry bath mat cayenne</v>
          </cell>
        </row>
        <row r="258">
          <cell r="G258">
            <v>60028221</v>
          </cell>
          <cell r="H258" t="str">
            <v>egyptian cotton bm hib pink</v>
          </cell>
          <cell r="I258" t="str">
            <v>egyptian cotton bm hib pink</v>
          </cell>
        </row>
        <row r="259">
          <cell r="G259">
            <v>60028222</v>
          </cell>
          <cell r="H259" t="str">
            <v/>
          </cell>
          <cell r="I259" t="str">
            <v>egyptian cotton terry bath mat  pale pink</v>
          </cell>
        </row>
        <row r="260">
          <cell r="G260">
            <v>60028223</v>
          </cell>
          <cell r="H260" t="str">
            <v>egyptian cotton bm damson</v>
          </cell>
          <cell r="I260" t="str">
            <v>egyptian cotton bm damson</v>
          </cell>
        </row>
        <row r="261">
          <cell r="G261">
            <v>60028224</v>
          </cell>
          <cell r="H261" t="str">
            <v>egyptian cotton bm crocus</v>
          </cell>
          <cell r="I261" t="str">
            <v>egyptian cotton bm crocus</v>
          </cell>
        </row>
        <row r="262">
          <cell r="G262">
            <v>60028226</v>
          </cell>
          <cell r="H262" t="str">
            <v>egyptian cotton bm claret</v>
          </cell>
          <cell r="I262" t="str">
            <v>egyptian cotton bm claret</v>
          </cell>
        </row>
        <row r="263">
          <cell r="G263">
            <v>60028227</v>
          </cell>
          <cell r="H263" t="str">
            <v/>
          </cell>
          <cell r="I263" t="str">
            <v>egyptian cotton terry bath mat white</v>
          </cell>
        </row>
        <row r="264">
          <cell r="G264">
            <v>60028228</v>
          </cell>
          <cell r="H264" t="str">
            <v>egyptian cotton bm ny yellow</v>
          </cell>
          <cell r="I264" t="str">
            <v>egyptian cotton bm ny yellow</v>
          </cell>
        </row>
        <row r="265">
          <cell r="G265">
            <v>60028229</v>
          </cell>
          <cell r="H265" t="str">
            <v/>
          </cell>
          <cell r="I265" t="str">
            <v>egyptian cotton terry bath mat mustard</v>
          </cell>
        </row>
        <row r="266">
          <cell r="G266">
            <v>60028231</v>
          </cell>
          <cell r="H266" t="str">
            <v/>
          </cell>
          <cell r="I266" t="str">
            <v>Egyptian Terry Dusty Green BM</v>
          </cell>
        </row>
        <row r="267">
          <cell r="G267">
            <v>60028232</v>
          </cell>
          <cell r="H267" t="str">
            <v>Egyptian Terry Dark Blue BM</v>
          </cell>
          <cell r="I267" t="str">
            <v>Egyptian Terry Dark Blue BM</v>
          </cell>
        </row>
        <row r="268">
          <cell r="G268">
            <v>60028259</v>
          </cell>
          <cell r="H268" t="str">
            <v/>
          </cell>
          <cell r="I268" t="str">
            <v>egyptian cotton terry bath mat myrtle green</v>
          </cell>
        </row>
        <row r="269">
          <cell r="G269">
            <v>60028301</v>
          </cell>
          <cell r="H269" t="str">
            <v>non slip cotton bm p pacific</v>
          </cell>
          <cell r="I269" t="str">
            <v>non slip cotton bm p pacific</v>
          </cell>
        </row>
        <row r="270">
          <cell r="G270">
            <v>60028302</v>
          </cell>
          <cell r="H270" t="str">
            <v>non slip cotton bm pacific</v>
          </cell>
          <cell r="I270" t="str">
            <v>non slip cotton bm pacific</v>
          </cell>
        </row>
        <row r="271">
          <cell r="G271">
            <v>60028303</v>
          </cell>
          <cell r="H271" t="str">
            <v>non slip cotton bm navy</v>
          </cell>
          <cell r="I271" t="str">
            <v>non slip cotton bm navy</v>
          </cell>
        </row>
        <row r="272">
          <cell r="G272">
            <v>60028304</v>
          </cell>
          <cell r="H272" t="str">
            <v>non slip cotton bm dark teal</v>
          </cell>
          <cell r="I272" t="str">
            <v>non slip cotton bm dark teal</v>
          </cell>
        </row>
        <row r="273">
          <cell r="G273">
            <v>60028305</v>
          </cell>
          <cell r="H273" t="str">
            <v>non slip cotton bm silv grey</v>
          </cell>
          <cell r="I273" t="str">
            <v>non slip cotton bm silv grey</v>
          </cell>
        </row>
        <row r="274">
          <cell r="G274">
            <v>60028306</v>
          </cell>
          <cell r="H274" t="str">
            <v>non slip cotton bm dk steel</v>
          </cell>
          <cell r="I274" t="str">
            <v>non slip cotton bm dk steel</v>
          </cell>
        </row>
        <row r="275">
          <cell r="G275">
            <v>60028307</v>
          </cell>
          <cell r="H275" t="str">
            <v>non slip cotton bm linen</v>
          </cell>
          <cell r="I275" t="str">
            <v>non slip cotton bm linen</v>
          </cell>
        </row>
        <row r="276">
          <cell r="G276">
            <v>60028308</v>
          </cell>
          <cell r="H276" t="str">
            <v>non slip cotton bm pale pink</v>
          </cell>
          <cell r="I276" t="str">
            <v>non slip cotton bm pale pink</v>
          </cell>
        </row>
        <row r="277">
          <cell r="G277">
            <v>60028310</v>
          </cell>
          <cell r="H277" t="str">
            <v>non slip cotton bm white</v>
          </cell>
          <cell r="I277" t="str">
            <v>non slip cotton bm white</v>
          </cell>
        </row>
        <row r="278">
          <cell r="G278">
            <v>60023225</v>
          </cell>
          <cell r="H278" t="str">
            <v/>
          </cell>
          <cell r="I278" t="str">
            <v>Recycled Polyester Bobble Bath mat White</v>
          </cell>
        </row>
        <row r="279">
          <cell r="G279">
            <v>60023219</v>
          </cell>
          <cell r="H279" t="str">
            <v/>
          </cell>
          <cell r="I279" t="str">
            <v>Recycled Polyester Bobble Bath mat Dark Steel</v>
          </cell>
        </row>
        <row r="280">
          <cell r="G280">
            <v>60023202</v>
          </cell>
          <cell r="H280" t="str">
            <v/>
          </cell>
          <cell r="I280" t="str">
            <v>Recycled Polyester Bobble Bath mat Linen</v>
          </cell>
        </row>
        <row r="281">
          <cell r="G281">
            <v>60023220</v>
          </cell>
          <cell r="H281" t="str">
            <v/>
          </cell>
          <cell r="I281" t="str">
            <v>Recycled Polyester Bobble Bath mat Silver Grey</v>
          </cell>
        </row>
        <row r="282">
          <cell r="G282">
            <v>60023203</v>
          </cell>
          <cell r="H282" t="str">
            <v/>
          </cell>
          <cell r="I282" t="str">
            <v>Recycled Polyester Bobble Bath mat Dark Navy</v>
          </cell>
        </row>
        <row r="283">
          <cell r="G283">
            <v>60023223</v>
          </cell>
          <cell r="H283" t="str">
            <v/>
          </cell>
          <cell r="I283" t="str">
            <v>Recycled Polyester Bobble Bath mat Pool Blue</v>
          </cell>
        </row>
        <row r="284">
          <cell r="G284">
            <v>60023208</v>
          </cell>
          <cell r="H284" t="str">
            <v/>
          </cell>
          <cell r="I284" t="str">
            <v>Recycled Polyester Bobble Bath mat Peacock</v>
          </cell>
        </row>
        <row r="285">
          <cell r="G285">
            <v>60023214</v>
          </cell>
          <cell r="H285" t="str">
            <v/>
          </cell>
          <cell r="I285" t="str">
            <v>Recycled Polyester Bobble Bath mat Mustard</v>
          </cell>
        </row>
        <row r="286">
          <cell r="G286">
            <v>60023212</v>
          </cell>
          <cell r="H286" t="str">
            <v/>
          </cell>
          <cell r="I286" t="str">
            <v>Recycled Polyester Bobble Bath mat Watermelon</v>
          </cell>
        </row>
        <row r="287">
          <cell r="G287">
            <v>60023211</v>
          </cell>
          <cell r="H287" t="str">
            <v/>
          </cell>
          <cell r="I287" t="str">
            <v>Recycled Polyester Bobble Bath mat Rust</v>
          </cell>
        </row>
        <row r="288">
          <cell r="G288">
            <v>60024702</v>
          </cell>
          <cell r="H288" t="str">
            <v/>
          </cell>
          <cell r="I288" t="str">
            <v>Recycled Polyester Bobble Pedestal mat White</v>
          </cell>
        </row>
        <row r="289">
          <cell r="G289">
            <v>60024706</v>
          </cell>
          <cell r="H289" t="str">
            <v/>
          </cell>
          <cell r="I289" t="str">
            <v>Recycled Polyester Bobble  Pedestal  mat Dark Steel</v>
          </cell>
        </row>
        <row r="290">
          <cell r="G290">
            <v>60024707</v>
          </cell>
          <cell r="H290" t="str">
            <v/>
          </cell>
          <cell r="I290" t="str">
            <v>Recycled Polyester Bobble  Pedestal  mat Peacock</v>
          </cell>
        </row>
        <row r="291">
          <cell r="G291">
            <v>60024708</v>
          </cell>
          <cell r="H291" t="str">
            <v/>
          </cell>
          <cell r="I291" t="str">
            <v>Recycled Polyester Bobble Pedestal mat Mustard</v>
          </cell>
        </row>
        <row r="292">
          <cell r="G292">
            <v>60025002</v>
          </cell>
          <cell r="H292" t="str">
            <v/>
          </cell>
          <cell r="I292" t="str">
            <v>Recycled Polyester Bobble Shower mat White</v>
          </cell>
        </row>
        <row r="293">
          <cell r="G293">
            <v>60025007</v>
          </cell>
          <cell r="H293" t="str">
            <v/>
          </cell>
          <cell r="I293" t="str">
            <v>Recycled Polyester Bobble Shower mat Dark Steel</v>
          </cell>
        </row>
        <row r="294">
          <cell r="G294">
            <v>60025006</v>
          </cell>
          <cell r="H294" t="str">
            <v/>
          </cell>
          <cell r="I294" t="str">
            <v>Recycled Polyester Bobble Shower mat Peacock</v>
          </cell>
        </row>
        <row r="295">
          <cell r="G295">
            <v>60025008</v>
          </cell>
          <cell r="H295" t="str">
            <v/>
          </cell>
          <cell r="I295" t="str">
            <v>Recycled Polyester Bobble Shower mat Mustard</v>
          </cell>
        </row>
        <row r="296">
          <cell r="G296">
            <v>60024302</v>
          </cell>
          <cell r="H296" t="str">
            <v/>
          </cell>
          <cell r="I296" t="str">
            <v>Recycled Polyester Bobble XL bath mat White</v>
          </cell>
        </row>
        <row r="297">
          <cell r="G297">
            <v>60024306</v>
          </cell>
          <cell r="H297" t="str">
            <v/>
          </cell>
          <cell r="I297" t="str">
            <v>Recycled Polyester Bobble XL bath mat Dark Steel</v>
          </cell>
        </row>
        <row r="298">
          <cell r="G298">
            <v>60024307</v>
          </cell>
          <cell r="H298" t="str">
            <v/>
          </cell>
          <cell r="I298" t="str">
            <v>Recycled Polyester Bobble XL bath mat  Peacock</v>
          </cell>
        </row>
        <row r="299">
          <cell r="G299">
            <v>60024308</v>
          </cell>
          <cell r="H299" t="str">
            <v/>
          </cell>
          <cell r="I299" t="str">
            <v>Recycled Polyester Bobble XL bath mat  Mustard</v>
          </cell>
        </row>
        <row r="300">
          <cell r="G300">
            <v>60024709</v>
          </cell>
          <cell r="H300" t="str">
            <v/>
          </cell>
          <cell r="I300" t="str">
            <v>Recycled Polyester Bobble  Pedestal  mat Silver Grey</v>
          </cell>
        </row>
        <row r="301">
          <cell r="G301">
            <v>60024710</v>
          </cell>
          <cell r="H301" t="str">
            <v/>
          </cell>
          <cell r="I301" t="str">
            <v>Recycled Polyester Bobble Pedestal mat Navy</v>
          </cell>
        </row>
        <row r="302">
          <cell r="G302">
            <v>60025010</v>
          </cell>
          <cell r="H302" t="str">
            <v/>
          </cell>
          <cell r="I302" t="str">
            <v>Recycled Polyester Bobble Shower mat Silver Grey</v>
          </cell>
        </row>
        <row r="303">
          <cell r="G303">
            <v>60025009</v>
          </cell>
          <cell r="H303" t="str">
            <v/>
          </cell>
          <cell r="I303" t="str">
            <v>Recycled Polyester Bobble Shower mat Navy</v>
          </cell>
        </row>
        <row r="304">
          <cell r="G304">
            <v>60024310</v>
          </cell>
          <cell r="H304" t="str">
            <v/>
          </cell>
          <cell r="I304" t="str">
            <v>Recycled Polyester Bobble XL bath mat Silver Grey</v>
          </cell>
        </row>
        <row r="305">
          <cell r="G305">
            <v>60024309</v>
          </cell>
          <cell r="H305" t="str">
            <v/>
          </cell>
          <cell r="I305" t="str">
            <v>Recycled Polyester Bobble XL bath mat Navy</v>
          </cell>
        </row>
        <row r="306">
          <cell r="G306">
            <v>60028265</v>
          </cell>
          <cell r="H306" t="str">
            <v>EGY BM, Dessert Sand</v>
          </cell>
          <cell r="I306" t="str">
            <v>EGY BM, Dessert Sand</v>
          </cell>
        </row>
        <row r="307">
          <cell r="G307">
            <v>60028266</v>
          </cell>
          <cell r="H307" t="str">
            <v>EGY BM, Raw Sienna</v>
          </cell>
          <cell r="I307" t="str">
            <v>EGY BM, Raw Sienna</v>
          </cell>
        </row>
        <row r="308">
          <cell r="G308">
            <v>60028262</v>
          </cell>
          <cell r="H308" t="str">
            <v>EGY BM, Harvest Gold</v>
          </cell>
          <cell r="I308" t="str">
            <v>EGY BM, Harvest Gold</v>
          </cell>
        </row>
        <row r="309">
          <cell r="G309">
            <v>60028263</v>
          </cell>
          <cell r="H309" t="str">
            <v>EGY, BM  Rose</v>
          </cell>
          <cell r="I309" t="str">
            <v>EGY, BM  Rose</v>
          </cell>
        </row>
        <row r="310">
          <cell r="G310">
            <v>60028264</v>
          </cell>
          <cell r="H310" t="str">
            <v>EGY, BM  Jadette</v>
          </cell>
          <cell r="I310" t="str">
            <v>EGY, BM  Jadette</v>
          </cell>
        </row>
        <row r="311">
          <cell r="G311">
            <v>60020301</v>
          </cell>
          <cell r="H311" t="str">
            <v/>
          </cell>
          <cell r="I311" t="str">
            <v>Supersoft Non-Slip Bath Mat, Navy</v>
          </cell>
        </row>
        <row r="312">
          <cell r="G312">
            <v>60080104</v>
          </cell>
          <cell r="H312" t="str">
            <v/>
          </cell>
          <cell r="I312" t="str">
            <v>Ultimate Hotel 4 piece bale white</v>
          </cell>
        </row>
        <row r="313">
          <cell r="G313">
            <v>60080105</v>
          </cell>
          <cell r="H313" t="str">
            <v/>
          </cell>
          <cell r="I313" t="str">
            <v>Ultimate Hotel 4 piece bale dove grey</v>
          </cell>
        </row>
        <row r="314">
          <cell r="G314">
            <v>60086601</v>
          </cell>
          <cell r="H314" t="str">
            <v/>
          </cell>
          <cell r="I314" t="str">
            <v>Ultimate Hotel gt pale pacific</v>
          </cell>
        </row>
        <row r="315">
          <cell r="G315">
            <v>60086602</v>
          </cell>
          <cell r="H315" t="str">
            <v>Ultimate Hotel gt olive</v>
          </cell>
          <cell r="I315" t="str">
            <v>Ultimate Hotel gt olive</v>
          </cell>
        </row>
        <row r="316">
          <cell r="G316">
            <v>60086603</v>
          </cell>
          <cell r="H316" t="str">
            <v>Ultimate Hotel gt pale pink</v>
          </cell>
          <cell r="I316" t="str">
            <v>Ultimate Hotel gt pale pink</v>
          </cell>
        </row>
        <row r="317">
          <cell r="G317">
            <v>60086604</v>
          </cell>
          <cell r="H317" t="str">
            <v>Ultimate Hotel gt linen</v>
          </cell>
          <cell r="I317" t="str">
            <v>Ultimate Hotel gt linen</v>
          </cell>
        </row>
        <row r="318">
          <cell r="G318">
            <v>60086605</v>
          </cell>
          <cell r="H318" t="str">
            <v>Ultimate Hotel gt latte</v>
          </cell>
          <cell r="I318" t="str">
            <v>Ultimate Hotel gt latte</v>
          </cell>
        </row>
        <row r="319">
          <cell r="G319">
            <v>60086608</v>
          </cell>
          <cell r="H319" t="str">
            <v>Ultimate Hotel Pacific GT</v>
          </cell>
          <cell r="I319" t="str">
            <v>Ultimate Hotel Pacific GT</v>
          </cell>
        </row>
        <row r="320">
          <cell r="G320">
            <v>60086614</v>
          </cell>
          <cell r="H320" t="str">
            <v>Ultimate Hotel  gt dark blue</v>
          </cell>
          <cell r="I320" t="str">
            <v>Ultimate Hotel  gt dark blue</v>
          </cell>
        </row>
        <row r="321">
          <cell r="G321">
            <v>60086630</v>
          </cell>
          <cell r="H321" t="str">
            <v/>
          </cell>
          <cell r="I321" t="str">
            <v>Ultimate Hotel suvin gt white</v>
          </cell>
        </row>
        <row r="322">
          <cell r="G322">
            <v>60086631</v>
          </cell>
          <cell r="H322" t="str">
            <v>Ultimate Hotel gt pearl grey</v>
          </cell>
          <cell r="I322" t="str">
            <v>Ultimate Hotel gt pearl grey</v>
          </cell>
        </row>
        <row r="323">
          <cell r="G323">
            <v>60086634</v>
          </cell>
          <cell r="H323" t="str">
            <v>Ultimate Hotel  gt navy</v>
          </cell>
          <cell r="I323" t="str">
            <v>Ultimate Hotel  gt navy</v>
          </cell>
        </row>
        <row r="324">
          <cell r="G324">
            <v>60086635</v>
          </cell>
          <cell r="H324" t="str">
            <v>Ultimate Hotel gt oyster</v>
          </cell>
          <cell r="I324" t="str">
            <v>Ultimate Hotel gt oyster</v>
          </cell>
        </row>
        <row r="325">
          <cell r="G325">
            <v>60086639</v>
          </cell>
          <cell r="H325" t="str">
            <v>Ultimate Hotel gt clover</v>
          </cell>
          <cell r="I325" t="str">
            <v>Ultimate Hotel gt clover</v>
          </cell>
        </row>
        <row r="326">
          <cell r="G326">
            <v>60086643</v>
          </cell>
          <cell r="H326" t="str">
            <v>Ultimate Hotel gt dark teal</v>
          </cell>
          <cell r="I326" t="str">
            <v>Ultimate Hotel gt dark teal</v>
          </cell>
        </row>
        <row r="327">
          <cell r="G327">
            <v>60086644</v>
          </cell>
          <cell r="H327" t="str">
            <v>Ultimate Hotel gt duck egg</v>
          </cell>
          <cell r="I327" t="str">
            <v>Ultimate Hotel gt duck egg</v>
          </cell>
        </row>
        <row r="328">
          <cell r="G328">
            <v>60086645</v>
          </cell>
          <cell r="H328" t="str">
            <v>Ultimate Hotel gt dove grey</v>
          </cell>
          <cell r="I328" t="str">
            <v>Ultimate Hotel gt dove grey</v>
          </cell>
        </row>
        <row r="329">
          <cell r="G329">
            <v>60086701</v>
          </cell>
          <cell r="H329" t="str">
            <v/>
          </cell>
          <cell r="I329" t="str">
            <v>Ultimate Hotel ht pale pacific</v>
          </cell>
        </row>
        <row r="330">
          <cell r="G330">
            <v>60086702</v>
          </cell>
          <cell r="H330" t="str">
            <v>Ultimate Hotel ht olive</v>
          </cell>
          <cell r="I330" t="str">
            <v>Ultimate Hotel ht olive</v>
          </cell>
        </row>
        <row r="331">
          <cell r="G331">
            <v>60086703</v>
          </cell>
          <cell r="H331" t="str">
            <v>Ultimate Hotel ht pale pink</v>
          </cell>
          <cell r="I331" t="str">
            <v>Ultimate Hotel ht pale pink</v>
          </cell>
        </row>
        <row r="332">
          <cell r="G332">
            <v>60086704</v>
          </cell>
          <cell r="H332" t="str">
            <v>Ultimate Hotel ht linen</v>
          </cell>
          <cell r="I332" t="str">
            <v>Ultimate Hotel ht linen</v>
          </cell>
        </row>
        <row r="333">
          <cell r="G333">
            <v>60086706</v>
          </cell>
          <cell r="H333" t="str">
            <v>Ultimate Hotel ht latte</v>
          </cell>
          <cell r="I333" t="str">
            <v>Ultimate Hotel ht latte</v>
          </cell>
        </row>
        <row r="334">
          <cell r="G334">
            <v>60086708</v>
          </cell>
          <cell r="H334" t="str">
            <v>Ultimate Hotel Pacific HT</v>
          </cell>
          <cell r="I334" t="str">
            <v>Ultimate Hotel Pacific HT</v>
          </cell>
        </row>
        <row r="335">
          <cell r="G335">
            <v>60086715</v>
          </cell>
          <cell r="H335" t="str">
            <v>Ultimate Hotel ht dark blue</v>
          </cell>
          <cell r="I335" t="str">
            <v>Ultimate Hotel ht dark blue</v>
          </cell>
        </row>
        <row r="336">
          <cell r="G336">
            <v>60086730</v>
          </cell>
          <cell r="H336" t="str">
            <v>Ultimate Hotel ht white</v>
          </cell>
          <cell r="I336" t="str">
            <v>Ultimate Hotel ht white</v>
          </cell>
        </row>
        <row r="337">
          <cell r="G337">
            <v>60086731</v>
          </cell>
          <cell r="H337" t="str">
            <v>Ultimate Hotel ht pearl grey</v>
          </cell>
          <cell r="I337" t="str">
            <v>Ultimate Hotel ht pearl grey</v>
          </cell>
        </row>
        <row r="338">
          <cell r="G338">
            <v>60086734</v>
          </cell>
          <cell r="H338" t="str">
            <v>Ultimate Hotel ht navy</v>
          </cell>
          <cell r="I338" t="str">
            <v>Ultimate Hotel ht navy</v>
          </cell>
        </row>
        <row r="339">
          <cell r="G339">
            <v>60086735</v>
          </cell>
          <cell r="H339" t="str">
            <v>Ultimate Hotel ht oyster</v>
          </cell>
          <cell r="I339" t="str">
            <v>Ultimate Hotel ht oyster</v>
          </cell>
        </row>
        <row r="340">
          <cell r="G340">
            <v>60086739</v>
          </cell>
          <cell r="H340" t="str">
            <v>Ultimate Hotel ht clover</v>
          </cell>
          <cell r="I340" t="str">
            <v>Ultimate Hotel ht clover</v>
          </cell>
        </row>
        <row r="341">
          <cell r="G341">
            <v>60086743</v>
          </cell>
          <cell r="H341" t="str">
            <v>Ultimate Hotel ht dark teal</v>
          </cell>
          <cell r="I341" t="str">
            <v>Ultimate Hotel ht dark teal</v>
          </cell>
        </row>
        <row r="342">
          <cell r="G342">
            <v>60086744</v>
          </cell>
          <cell r="H342" t="str">
            <v>Ultimate Hotel ht duck egg</v>
          </cell>
          <cell r="I342" t="str">
            <v>Ultimate Hotel ht duck egg</v>
          </cell>
        </row>
        <row r="343">
          <cell r="G343">
            <v>60086745</v>
          </cell>
          <cell r="H343" t="str">
            <v>Ultimate Hotel ht dove grey</v>
          </cell>
          <cell r="I343" t="str">
            <v>Ultimate Hotel ht dove grey</v>
          </cell>
        </row>
        <row r="344">
          <cell r="G344">
            <v>60086801</v>
          </cell>
          <cell r="H344" t="str">
            <v/>
          </cell>
          <cell r="I344" t="str">
            <v>Ultimate Hotel bt pale pacific</v>
          </cell>
        </row>
        <row r="345">
          <cell r="G345">
            <v>60086802</v>
          </cell>
          <cell r="H345" t="str">
            <v>Ultimate Hotel bt olive</v>
          </cell>
          <cell r="I345" t="str">
            <v>Ultimate Hotel bt olive</v>
          </cell>
        </row>
        <row r="346">
          <cell r="G346">
            <v>60086803</v>
          </cell>
          <cell r="H346" t="str">
            <v>Ultimate Hotel bt pale pink</v>
          </cell>
          <cell r="I346" t="str">
            <v>Ultimate Hotel bt pale pink</v>
          </cell>
        </row>
        <row r="347">
          <cell r="G347">
            <v>60086804</v>
          </cell>
          <cell r="H347" t="str">
            <v>Ultimate Hotel bt linen</v>
          </cell>
          <cell r="I347" t="str">
            <v>Ultimate Hotel bt linen</v>
          </cell>
        </row>
        <row r="348">
          <cell r="G348">
            <v>60086807</v>
          </cell>
          <cell r="H348" t="str">
            <v>Ultimate Hotel bt latte</v>
          </cell>
          <cell r="I348" t="str">
            <v>Ultimate Hotel bt latte</v>
          </cell>
        </row>
        <row r="349">
          <cell r="G349">
            <v>60086808</v>
          </cell>
          <cell r="H349" t="str">
            <v>Ultimate Hotel Pacific BT</v>
          </cell>
          <cell r="I349" t="str">
            <v>Ultimate Hotel Pacific BT</v>
          </cell>
        </row>
        <row r="350">
          <cell r="G350">
            <v>60086816</v>
          </cell>
          <cell r="H350" t="str">
            <v>Ultimate Hotel bt dark blue</v>
          </cell>
          <cell r="I350" t="str">
            <v>Ultimate Hotel bt dark blue</v>
          </cell>
        </row>
        <row r="351">
          <cell r="G351">
            <v>60086830</v>
          </cell>
          <cell r="H351" t="str">
            <v>Ultimate Hotel bt white</v>
          </cell>
          <cell r="I351" t="str">
            <v>Ultimate Hotel bt white</v>
          </cell>
        </row>
        <row r="352">
          <cell r="G352">
            <v>60086831</v>
          </cell>
          <cell r="H352" t="str">
            <v>Ultimate Hotel bt pearl grey</v>
          </cell>
          <cell r="I352" t="str">
            <v>Ultimate Hotel bt pearl grey</v>
          </cell>
        </row>
        <row r="353">
          <cell r="G353">
            <v>60086834</v>
          </cell>
          <cell r="H353" t="str">
            <v>Ultimate Hotel bt navy</v>
          </cell>
          <cell r="I353" t="str">
            <v>Ultimate Hotel bt navy</v>
          </cell>
        </row>
        <row r="354">
          <cell r="G354">
            <v>60086835</v>
          </cell>
          <cell r="H354" t="str">
            <v>Ultimate Hotel bt oyster</v>
          </cell>
          <cell r="I354" t="str">
            <v>Ultimate Hotel bt oyster</v>
          </cell>
        </row>
        <row r="355">
          <cell r="G355">
            <v>60086839</v>
          </cell>
          <cell r="H355" t="str">
            <v>Ultimate Hotel bt clover</v>
          </cell>
          <cell r="I355" t="str">
            <v>Ultimate Hotel bt clover</v>
          </cell>
        </row>
        <row r="356">
          <cell r="G356">
            <v>60086843</v>
          </cell>
          <cell r="H356" t="str">
            <v>Ultimate Hotel bt dark teal</v>
          </cell>
          <cell r="I356" t="str">
            <v>Ultimate Hotel bt dark teal</v>
          </cell>
        </row>
        <row r="357">
          <cell r="G357">
            <v>60086844</v>
          </cell>
          <cell r="H357" t="str">
            <v>Ultimate Hotel bt duck egg</v>
          </cell>
          <cell r="I357" t="str">
            <v>Ultimate Hotel bt duck egg</v>
          </cell>
        </row>
        <row r="358">
          <cell r="G358">
            <v>60086845</v>
          </cell>
          <cell r="H358" t="str">
            <v>Ultimate Hotel bt dove grey</v>
          </cell>
          <cell r="I358" t="str">
            <v>Ultimate Hotel bt dove grey</v>
          </cell>
        </row>
        <row r="359">
          <cell r="G359">
            <v>60086901</v>
          </cell>
          <cell r="H359" t="str">
            <v/>
          </cell>
          <cell r="I359" t="str">
            <v>Ultimate Hotel bs pale pacific</v>
          </cell>
        </row>
        <row r="360">
          <cell r="G360">
            <v>60086902</v>
          </cell>
          <cell r="H360" t="str">
            <v>Ultimate Hotel bs olive</v>
          </cell>
          <cell r="I360" t="str">
            <v>Ultimate Hotel bs olive</v>
          </cell>
        </row>
        <row r="361">
          <cell r="G361">
            <v>60086903</v>
          </cell>
          <cell r="H361" t="str">
            <v>Ultimate Hotel bs pale pink</v>
          </cell>
          <cell r="I361" t="str">
            <v>Ultimate Hotel bs pale pink</v>
          </cell>
        </row>
        <row r="362">
          <cell r="G362">
            <v>60086904</v>
          </cell>
          <cell r="H362" t="str">
            <v>Ultimate Hotel bs linen</v>
          </cell>
          <cell r="I362" t="str">
            <v>Ultimate Hotel bs linen</v>
          </cell>
        </row>
        <row r="363">
          <cell r="G363">
            <v>60086907</v>
          </cell>
          <cell r="H363" t="str">
            <v>Ultimate Hotel Pacific BS</v>
          </cell>
          <cell r="I363" t="str">
            <v>Ultimate Hotel Pacific BS</v>
          </cell>
        </row>
        <row r="364">
          <cell r="G364">
            <v>60086908</v>
          </cell>
          <cell r="H364" t="str">
            <v>Ultimate Hotel bs latte</v>
          </cell>
          <cell r="I364" t="str">
            <v>Ultimate Hotel bs latte</v>
          </cell>
        </row>
        <row r="365">
          <cell r="G365">
            <v>60086917</v>
          </cell>
          <cell r="H365" t="str">
            <v>Ultimate Hotel bs dark blue</v>
          </cell>
          <cell r="I365" t="str">
            <v>Ultimate Hotel bs dark blue</v>
          </cell>
        </row>
        <row r="366">
          <cell r="G366">
            <v>60086930</v>
          </cell>
          <cell r="H366" t="str">
            <v>Ultimate Hotel bs white</v>
          </cell>
          <cell r="I366" t="str">
            <v>Ultimate Hotel bs white</v>
          </cell>
        </row>
        <row r="367">
          <cell r="G367">
            <v>60086931</v>
          </cell>
          <cell r="H367" t="str">
            <v>Ultimate Hotel bs pearl grey</v>
          </cell>
          <cell r="I367" t="str">
            <v>Ultimate Hotel bs pearl grey</v>
          </cell>
        </row>
        <row r="368">
          <cell r="G368">
            <v>60086934</v>
          </cell>
          <cell r="H368" t="str">
            <v>Ultimate Hotel bs navy</v>
          </cell>
          <cell r="I368" t="str">
            <v>Ultimate Hotel bs navy</v>
          </cell>
        </row>
        <row r="369">
          <cell r="G369">
            <v>60086935</v>
          </cell>
          <cell r="H369" t="str">
            <v/>
          </cell>
          <cell r="I369" t="str">
            <v>Ultimate Hotel suvin bs oyster</v>
          </cell>
        </row>
        <row r="370">
          <cell r="G370">
            <v>60086939</v>
          </cell>
          <cell r="H370" t="str">
            <v/>
          </cell>
          <cell r="I370" t="str">
            <v>Ultimate Hotel suvin bs clover</v>
          </cell>
        </row>
        <row r="371">
          <cell r="G371">
            <v>60086943</v>
          </cell>
          <cell r="H371" t="str">
            <v>Ultimate Hotel bs dark teal</v>
          </cell>
          <cell r="I371" t="str">
            <v>Ultimate Hotel bs dark teal</v>
          </cell>
        </row>
        <row r="372">
          <cell r="G372">
            <v>60086944</v>
          </cell>
          <cell r="H372" t="str">
            <v>Ultimate Hotel bs duck egg</v>
          </cell>
          <cell r="I372" t="str">
            <v>Ultimate Hotel bs duck egg</v>
          </cell>
        </row>
        <row r="373">
          <cell r="G373">
            <v>60086945</v>
          </cell>
          <cell r="H373" t="str">
            <v>Ultimate Hotel bs dove grey</v>
          </cell>
          <cell r="I373" t="str">
            <v>Ultimate Hotel bs dove grey</v>
          </cell>
        </row>
        <row r="374">
          <cell r="G374">
            <v>60087030</v>
          </cell>
          <cell r="H374" t="str">
            <v>Ultimate Hotel xl bs white</v>
          </cell>
          <cell r="I374" t="str">
            <v>Ultimate Hotel xl bs white</v>
          </cell>
        </row>
        <row r="375">
          <cell r="G375">
            <v>60087045</v>
          </cell>
          <cell r="H375" t="str">
            <v/>
          </cell>
          <cell r="I375" t="str">
            <v>Ultimate Hotel xl bs dove grey</v>
          </cell>
        </row>
        <row r="376">
          <cell r="G376">
            <v>60087101</v>
          </cell>
          <cell r="H376" t="str">
            <v>Ultimate Hotel fc x2 olive</v>
          </cell>
          <cell r="I376" t="str">
            <v>Ultimate Hotel fc x2 olive</v>
          </cell>
        </row>
        <row r="377">
          <cell r="G377">
            <v>60087102</v>
          </cell>
          <cell r="H377" t="str">
            <v/>
          </cell>
          <cell r="I377" t="str">
            <v>Ultimate Hotel fc x2 pale pink</v>
          </cell>
        </row>
        <row r="378">
          <cell r="G378">
            <v>60087103</v>
          </cell>
          <cell r="H378" t="str">
            <v/>
          </cell>
          <cell r="I378" t="str">
            <v>Ultimate Hotel fc x2 p pacific</v>
          </cell>
        </row>
        <row r="379">
          <cell r="G379">
            <v>60087104</v>
          </cell>
          <cell r="H379" t="str">
            <v>Ultimate Hotel fc x2 linen</v>
          </cell>
          <cell r="I379" t="str">
            <v>Ultimate Hotel fc x2 linen</v>
          </cell>
        </row>
        <row r="380">
          <cell r="G380">
            <v>60087107</v>
          </cell>
          <cell r="H380" t="str">
            <v/>
          </cell>
          <cell r="I380" t="str">
            <v>Ultimate Hotel Pacific FC X 2</v>
          </cell>
        </row>
        <row r="381">
          <cell r="G381">
            <v>60087117</v>
          </cell>
          <cell r="H381" t="str">
            <v/>
          </cell>
          <cell r="I381" t="str">
            <v>Ultimate Hotel fcs x2 dark blue</v>
          </cell>
        </row>
        <row r="382">
          <cell r="G382">
            <v>60087118</v>
          </cell>
          <cell r="H382" t="str">
            <v/>
          </cell>
          <cell r="I382" t="str">
            <v>Ultimate Hotel fc x2 duck egg</v>
          </cell>
        </row>
        <row r="383">
          <cell r="G383">
            <v>60087120</v>
          </cell>
          <cell r="H383" t="str">
            <v>Ultimate Hotel fc x2 navy</v>
          </cell>
          <cell r="I383" t="str">
            <v>Ultimate Hotel fc x2 navy</v>
          </cell>
        </row>
        <row r="384">
          <cell r="G384">
            <v>60087121</v>
          </cell>
          <cell r="H384" t="str">
            <v/>
          </cell>
          <cell r="I384" t="str">
            <v>Ultimate Hotel fc x2 dark teal</v>
          </cell>
        </row>
        <row r="385">
          <cell r="G385">
            <v>60087124</v>
          </cell>
          <cell r="H385" t="str">
            <v/>
          </cell>
          <cell r="I385" t="str">
            <v>Ultimate Hotel fc x2 pearl grey</v>
          </cell>
        </row>
        <row r="386">
          <cell r="G386">
            <v>60087125</v>
          </cell>
          <cell r="H386" t="str">
            <v/>
          </cell>
          <cell r="I386" t="str">
            <v>Ultimate Hotel fc x2 dove grey</v>
          </cell>
        </row>
        <row r="387">
          <cell r="G387">
            <v>60087127</v>
          </cell>
          <cell r="H387" t="str">
            <v>Ultimate Hotel fc x2 latte</v>
          </cell>
          <cell r="I387" t="str">
            <v>Ultimate Hotel fc x2 latte</v>
          </cell>
        </row>
        <row r="388">
          <cell r="G388">
            <v>60087128</v>
          </cell>
          <cell r="H388" t="str">
            <v>Ultimate Hotel fc x2 oyster</v>
          </cell>
          <cell r="I388" t="str">
            <v>Ultimate Hotel fc x2 oyster</v>
          </cell>
        </row>
        <row r="389">
          <cell r="G389">
            <v>60087131</v>
          </cell>
          <cell r="H389" t="str">
            <v>Ultimate Hotel fc x2 clover</v>
          </cell>
          <cell r="I389" t="str">
            <v>Ultimate Hotel fc x2 clover</v>
          </cell>
        </row>
        <row r="390">
          <cell r="G390">
            <v>60087133</v>
          </cell>
          <cell r="H390" t="str">
            <v>Ultimate Hotel fc x2 white</v>
          </cell>
          <cell r="I390" t="str">
            <v>Ultimate Hotel fc x2 white</v>
          </cell>
        </row>
        <row r="391">
          <cell r="G391">
            <v>60086933</v>
          </cell>
          <cell r="H391" t="str">
            <v>UH, FC S/2, Desert Sand</v>
          </cell>
          <cell r="I391" t="str">
            <v>UH, FC S/2, Desert Sand</v>
          </cell>
        </row>
        <row r="392">
          <cell r="G392">
            <v>60086909</v>
          </cell>
          <cell r="H392" t="str">
            <v>UH, GT, Desert Sand</v>
          </cell>
          <cell r="I392" t="str">
            <v>UH, GT, Desert Sand</v>
          </cell>
        </row>
        <row r="393">
          <cell r="G393">
            <v>60086910</v>
          </cell>
          <cell r="H393" t="str">
            <v>UH, HT, Desert Sand</v>
          </cell>
          <cell r="I393" t="str">
            <v>UH, HT, Desert Sand</v>
          </cell>
        </row>
        <row r="394">
          <cell r="G394">
            <v>60086911</v>
          </cell>
          <cell r="H394" t="str">
            <v>UH, BT, Desert Sand</v>
          </cell>
          <cell r="I394" t="str">
            <v>UH, BT, Desert Sand</v>
          </cell>
        </row>
        <row r="395">
          <cell r="G395">
            <v>60086912</v>
          </cell>
          <cell r="H395" t="str">
            <v>UH, BS, Desert Sand</v>
          </cell>
          <cell r="I395" t="str">
            <v>UH, BS, Desert Sand</v>
          </cell>
        </row>
        <row r="396">
          <cell r="G396">
            <v>60086937</v>
          </cell>
          <cell r="H396" t="str">
            <v>UH, FC S/2, Harvest Gold</v>
          </cell>
          <cell r="I396" t="str">
            <v>UH, FC S/2, Harvest Gold</v>
          </cell>
        </row>
        <row r="397">
          <cell r="G397">
            <v>60086913</v>
          </cell>
          <cell r="H397" t="str">
            <v>UH, GT, Harvest Gold</v>
          </cell>
          <cell r="I397" t="str">
            <v>UH, GT, Harvest Gold</v>
          </cell>
        </row>
        <row r="398">
          <cell r="G398">
            <v>60086914</v>
          </cell>
          <cell r="H398" t="str">
            <v>UH, HT, Harvest Gold</v>
          </cell>
          <cell r="I398" t="str">
            <v>UH, HT, Harvest Gold</v>
          </cell>
        </row>
        <row r="399">
          <cell r="G399">
            <v>60086915</v>
          </cell>
          <cell r="H399" t="str">
            <v>UH, BT, Harvest Gold</v>
          </cell>
          <cell r="I399" t="str">
            <v>UH, BT, Harvest Gold</v>
          </cell>
        </row>
        <row r="400">
          <cell r="G400">
            <v>60086916</v>
          </cell>
          <cell r="H400" t="str">
            <v>UH, BS, Harvest Gold</v>
          </cell>
          <cell r="I400" t="str">
            <v>UH, BS, Harvest Gold</v>
          </cell>
        </row>
        <row r="401">
          <cell r="G401">
            <v>60086936</v>
          </cell>
          <cell r="H401" t="str">
            <v>UH, FC S/2, Baked Clay</v>
          </cell>
          <cell r="I401" t="str">
            <v>UH, FC S/2, Baked Clay</v>
          </cell>
        </row>
        <row r="402">
          <cell r="G402">
            <v>60086918</v>
          </cell>
          <cell r="H402" t="str">
            <v>UH, GT, Baked Clay</v>
          </cell>
          <cell r="I402" t="str">
            <v>UH, GT, Baked Clay</v>
          </cell>
        </row>
        <row r="403">
          <cell r="G403">
            <v>60086919</v>
          </cell>
          <cell r="H403" t="str">
            <v>UH, HT, Baked Clay</v>
          </cell>
          <cell r="I403" t="str">
            <v>UH, HT, Baked Clay</v>
          </cell>
        </row>
        <row r="404">
          <cell r="G404">
            <v>60086920</v>
          </cell>
          <cell r="H404" t="str">
            <v>UH, BT, Baked Clay</v>
          </cell>
          <cell r="I404" t="str">
            <v>UH, BT, Baked Clay</v>
          </cell>
        </row>
        <row r="405">
          <cell r="G405">
            <v>60086921</v>
          </cell>
          <cell r="H405" t="str">
            <v>UH, BS, Baked Clay</v>
          </cell>
          <cell r="I405" t="str">
            <v>UH, BS, Baked Clay</v>
          </cell>
        </row>
        <row r="406">
          <cell r="G406">
            <v>60086922</v>
          </cell>
          <cell r="H406" t="str">
            <v>UH, FC S/2, Sage</v>
          </cell>
          <cell r="I406" t="str">
            <v>UH, FC S/2, Sage</v>
          </cell>
        </row>
        <row r="407">
          <cell r="G407">
            <v>60086923</v>
          </cell>
          <cell r="H407" t="str">
            <v>UH, GT, Sage</v>
          </cell>
          <cell r="I407" t="str">
            <v>UH, GT, Sage</v>
          </cell>
        </row>
        <row r="408">
          <cell r="G408">
            <v>60086924</v>
          </cell>
          <cell r="H408" t="str">
            <v>UH, HT, Sage</v>
          </cell>
          <cell r="I408" t="str">
            <v>UH, HT, Sage</v>
          </cell>
        </row>
        <row r="409">
          <cell r="G409">
            <v>60086925</v>
          </cell>
          <cell r="H409" t="str">
            <v>UH, BT, Sage</v>
          </cell>
          <cell r="I409" t="str">
            <v>UH, BT, Sage</v>
          </cell>
        </row>
        <row r="410">
          <cell r="G410">
            <v>60086926</v>
          </cell>
          <cell r="H410" t="str">
            <v>UH, BS, Sage</v>
          </cell>
          <cell r="I410" t="str">
            <v>UH, BS, Sage</v>
          </cell>
        </row>
        <row r="411">
          <cell r="G411">
            <v>60086938</v>
          </cell>
          <cell r="H411" t="str">
            <v>UH, FC S/2, Drk Evergreen</v>
          </cell>
          <cell r="I411" t="str">
            <v>UH, FC S/2, Drk Evergreen</v>
          </cell>
        </row>
        <row r="412">
          <cell r="G412">
            <v>60086940</v>
          </cell>
          <cell r="H412" t="str">
            <v>UH, GT, Drk Evergreen</v>
          </cell>
          <cell r="I412" t="str">
            <v>UH, GT, Drk Evergreen</v>
          </cell>
        </row>
        <row r="413">
          <cell r="G413">
            <v>60086942</v>
          </cell>
          <cell r="H413" t="str">
            <v>UH, HT, Drk Evergreen</v>
          </cell>
          <cell r="I413" t="str">
            <v>UH, HT, Drk Evergreen</v>
          </cell>
        </row>
        <row r="414">
          <cell r="G414">
            <v>60086941</v>
          </cell>
          <cell r="H414" t="str">
            <v>UH, BT, Drk Evergreen</v>
          </cell>
          <cell r="I414" t="str">
            <v>UH, BT, Drk Evergreen</v>
          </cell>
        </row>
        <row r="415">
          <cell r="G415">
            <v>60086947</v>
          </cell>
          <cell r="H415" t="str">
            <v>UH, BS, Drk Evergreen</v>
          </cell>
          <cell r="I415" t="str">
            <v>UH, BS, Drk Evergreen</v>
          </cell>
        </row>
        <row r="416">
          <cell r="G416">
            <v>60086948</v>
          </cell>
          <cell r="H416" t="str">
            <v>UH, FC S/2, Drk Steel</v>
          </cell>
          <cell r="I416" t="str">
            <v>UH, FC S/2, Drk Steel</v>
          </cell>
        </row>
        <row r="417">
          <cell r="G417">
            <v>60086927</v>
          </cell>
          <cell r="H417" t="str">
            <v>UH, GT, Drk Steel</v>
          </cell>
          <cell r="I417" t="str">
            <v>UH, GT, Drk Steel</v>
          </cell>
        </row>
        <row r="418">
          <cell r="G418">
            <v>60086928</v>
          </cell>
          <cell r="H418" t="str">
            <v>UH, HT, Drk Steel</v>
          </cell>
          <cell r="I418" t="str">
            <v>UH, HT, Drk Steel</v>
          </cell>
        </row>
        <row r="419">
          <cell r="G419">
            <v>60086929</v>
          </cell>
          <cell r="H419" t="str">
            <v>UH, BT, Drk Steel</v>
          </cell>
          <cell r="I419" t="str">
            <v>UH, BT, Drk Steel</v>
          </cell>
        </row>
        <row r="420">
          <cell r="G420">
            <v>60086932</v>
          </cell>
          <cell r="H420" t="str">
            <v>UH, BS, Drk Steel</v>
          </cell>
          <cell r="I420" t="str">
            <v>UH, BS, Drk Steel</v>
          </cell>
        </row>
        <row r="421">
          <cell r="G421">
            <v>60043817</v>
          </cell>
          <cell r="H421" t="str">
            <v/>
          </cell>
          <cell r="I421" t="str">
            <v>Desert Palm Beach Towel</v>
          </cell>
        </row>
        <row r="422">
          <cell r="G422">
            <v>60043829</v>
          </cell>
          <cell r="H422" t="str">
            <v/>
          </cell>
          <cell r="I422" t="str">
            <v>Palm Leaf Beach Towel</v>
          </cell>
        </row>
        <row r="423">
          <cell r="G423">
            <v>60043830</v>
          </cell>
          <cell r="H423" t="str">
            <v/>
          </cell>
          <cell r="I423" t="str">
            <v>Shifting Sands Beach Towel</v>
          </cell>
        </row>
        <row r="424">
          <cell r="G424">
            <v>60043831</v>
          </cell>
          <cell r="H424" t="str">
            <v/>
          </cell>
          <cell r="I424" t="str">
            <v>Shifting Sands Beach Towel</v>
          </cell>
        </row>
        <row r="425">
          <cell r="G425">
            <v>60043832</v>
          </cell>
          <cell r="H425" t="str">
            <v/>
          </cell>
          <cell r="I425" t="str">
            <v xml:space="preserve">Jungle Boogie beach towel </v>
          </cell>
        </row>
        <row r="426">
          <cell r="G426">
            <v>60043833</v>
          </cell>
          <cell r="H426" t="str">
            <v/>
          </cell>
          <cell r="I426" t="str">
            <v xml:space="preserve">Flower Power beach towel </v>
          </cell>
        </row>
        <row r="427">
          <cell r="G427">
            <v>60043835</v>
          </cell>
          <cell r="H427" t="str">
            <v/>
          </cell>
          <cell r="I427" t="str">
            <v xml:space="preserve">summer check beach towel </v>
          </cell>
        </row>
        <row r="428">
          <cell r="G428">
            <v>60043834</v>
          </cell>
          <cell r="H428" t="str">
            <v/>
          </cell>
          <cell r="I428" t="str">
            <v xml:space="preserve">multi stripe beach towel </v>
          </cell>
        </row>
        <row r="429">
          <cell r="G429">
            <v>60043836</v>
          </cell>
          <cell r="H429" t="str">
            <v/>
          </cell>
          <cell r="I429" t="str">
            <v>Vertical Stripe Beach blue</v>
          </cell>
        </row>
        <row r="430">
          <cell r="G430">
            <v>60043837</v>
          </cell>
          <cell r="H430" t="str">
            <v/>
          </cell>
          <cell r="I430" t="str">
            <v>Vertical Stripe Beach pink</v>
          </cell>
        </row>
        <row r="431">
          <cell r="G431">
            <v>60092610</v>
          </cell>
          <cell r="H431" t="str">
            <v>egyptian gt mustard</v>
          </cell>
          <cell r="I431" t="str">
            <v>egyptian gt mustard</v>
          </cell>
        </row>
        <row r="432">
          <cell r="G432">
            <v>60092611</v>
          </cell>
          <cell r="H432" t="str">
            <v>egyptian cotton gt hib pink</v>
          </cell>
          <cell r="I432" t="str">
            <v>egyptian cotton gt hib pink</v>
          </cell>
        </row>
        <row r="433">
          <cell r="G433">
            <v>60092623</v>
          </cell>
          <cell r="H433" t="str">
            <v>egyptian gt bluebell</v>
          </cell>
          <cell r="I433" t="str">
            <v>egyptian gt bluebell</v>
          </cell>
        </row>
        <row r="434">
          <cell r="G434">
            <v>60092632</v>
          </cell>
          <cell r="H434" t="str">
            <v>egyptian cotton gt damson</v>
          </cell>
          <cell r="I434" t="str">
            <v>egyptian cotton gt damson</v>
          </cell>
        </row>
        <row r="435">
          <cell r="G435">
            <v>60092634</v>
          </cell>
          <cell r="H435" t="str">
            <v>egyptian cotton gt crocus</v>
          </cell>
          <cell r="I435" t="str">
            <v>egyptian cotton gt crocus</v>
          </cell>
        </row>
        <row r="436">
          <cell r="G436">
            <v>60092654</v>
          </cell>
          <cell r="H436" t="str">
            <v>egyptian gt ny yellow</v>
          </cell>
          <cell r="I436" t="str">
            <v>egyptian gt ny yellow</v>
          </cell>
        </row>
        <row r="437">
          <cell r="G437">
            <v>60092657</v>
          </cell>
          <cell r="H437" t="str">
            <v>egyptian gt  myrtle green</v>
          </cell>
          <cell r="I437" t="str">
            <v>egyptian gt  myrtle green</v>
          </cell>
        </row>
        <row r="438">
          <cell r="G438">
            <v>60092662</v>
          </cell>
          <cell r="H438" t="str">
            <v>egyptian gt sapphire</v>
          </cell>
          <cell r="I438" t="str">
            <v>egyptian gt sapphire</v>
          </cell>
        </row>
        <row r="439">
          <cell r="G439">
            <v>60092710</v>
          </cell>
          <cell r="H439" t="str">
            <v>egyptian cotton ht hib pink</v>
          </cell>
          <cell r="I439" t="str">
            <v>egyptian cotton ht hib pink</v>
          </cell>
        </row>
        <row r="440">
          <cell r="G440">
            <v>60092715</v>
          </cell>
          <cell r="H440" t="str">
            <v>egyptian ht mustard</v>
          </cell>
          <cell r="I440" t="str">
            <v>egyptian ht mustard</v>
          </cell>
        </row>
        <row r="441">
          <cell r="G441">
            <v>60092723</v>
          </cell>
          <cell r="H441" t="str">
            <v>egyptian ht bluebell</v>
          </cell>
          <cell r="I441" t="str">
            <v>egyptian ht bluebell</v>
          </cell>
        </row>
        <row r="442">
          <cell r="G442">
            <v>60092732</v>
          </cell>
          <cell r="H442" t="str">
            <v>egyptian cotton ht damson</v>
          </cell>
          <cell r="I442" t="str">
            <v>egyptian cotton ht damson</v>
          </cell>
        </row>
        <row r="443">
          <cell r="G443">
            <v>60092734</v>
          </cell>
          <cell r="H443" t="str">
            <v>egyptian cotton ht crocus</v>
          </cell>
          <cell r="I443" t="str">
            <v>egyptian cotton ht crocus</v>
          </cell>
        </row>
        <row r="444">
          <cell r="G444">
            <v>60092754</v>
          </cell>
          <cell r="H444" t="str">
            <v>egyptian ht ny yellow</v>
          </cell>
          <cell r="I444" t="str">
            <v>egyptian ht ny yellow</v>
          </cell>
        </row>
        <row r="445">
          <cell r="G445">
            <v>60092757</v>
          </cell>
          <cell r="H445" t="str">
            <v>egyptian ht  myrtle green</v>
          </cell>
          <cell r="I445" t="str">
            <v>egyptian ht  myrtle green</v>
          </cell>
        </row>
        <row r="446">
          <cell r="G446">
            <v>60092762</v>
          </cell>
          <cell r="H446" t="str">
            <v>egyptian ht sapphire</v>
          </cell>
          <cell r="I446" t="str">
            <v>egyptian ht sapphire</v>
          </cell>
        </row>
        <row r="447">
          <cell r="G447">
            <v>60092811</v>
          </cell>
          <cell r="H447" t="str">
            <v>egyptian cotton bt hib pink</v>
          </cell>
          <cell r="I447" t="str">
            <v>egyptian cotton bt hib pink</v>
          </cell>
        </row>
        <row r="448">
          <cell r="G448">
            <v>60092818</v>
          </cell>
          <cell r="H448" t="str">
            <v>egyptian bt mustard</v>
          </cell>
          <cell r="I448" t="str">
            <v>egyptian bt mustard</v>
          </cell>
        </row>
        <row r="449">
          <cell r="G449">
            <v>60092823</v>
          </cell>
          <cell r="H449" t="str">
            <v>egyptian bt bluebell</v>
          </cell>
          <cell r="I449" t="str">
            <v>egyptian bt bluebell</v>
          </cell>
        </row>
        <row r="450">
          <cell r="G450">
            <v>60092832</v>
          </cell>
          <cell r="H450" t="str">
            <v>egyptian cotton bt damson</v>
          </cell>
          <cell r="I450" t="str">
            <v>egyptian cotton bt damson</v>
          </cell>
        </row>
        <row r="451">
          <cell r="G451">
            <v>60092834</v>
          </cell>
          <cell r="H451" t="str">
            <v>egyptian cotton bt crocus</v>
          </cell>
          <cell r="I451" t="str">
            <v>egyptian cotton bt crocus</v>
          </cell>
        </row>
        <row r="452">
          <cell r="G452">
            <v>60092854</v>
          </cell>
          <cell r="H452" t="str">
            <v>egyptian bt ny yellow</v>
          </cell>
          <cell r="I452" t="str">
            <v>egyptian bt ny yellow</v>
          </cell>
        </row>
        <row r="453">
          <cell r="G453">
            <v>60092855</v>
          </cell>
          <cell r="H453" t="str">
            <v>egyptian bt  myrtle green</v>
          </cell>
          <cell r="I453" t="str">
            <v>egyptian bt  myrtle green</v>
          </cell>
        </row>
        <row r="454">
          <cell r="G454">
            <v>60092862</v>
          </cell>
          <cell r="H454" t="str">
            <v>egyptian bt sapphire</v>
          </cell>
          <cell r="I454" t="str">
            <v>egyptian bt sapphire</v>
          </cell>
        </row>
        <row r="455">
          <cell r="G455">
            <v>60092911</v>
          </cell>
          <cell r="H455" t="str">
            <v>egyptian cotton bs hib pink</v>
          </cell>
          <cell r="I455" t="str">
            <v>egyptian cotton bs hib pink</v>
          </cell>
        </row>
        <row r="456">
          <cell r="G456">
            <v>60092920</v>
          </cell>
          <cell r="H456" t="str">
            <v>egyptian bs mustard</v>
          </cell>
          <cell r="I456" t="str">
            <v>egyptian bs mustard</v>
          </cell>
        </row>
        <row r="457">
          <cell r="G457">
            <v>60092923</v>
          </cell>
          <cell r="H457" t="str">
            <v>egyptian bs bluebell</v>
          </cell>
          <cell r="I457" t="str">
            <v>egyptian bs bluebell</v>
          </cell>
        </row>
        <row r="458">
          <cell r="G458">
            <v>60092932</v>
          </cell>
          <cell r="H458" t="str">
            <v>egyptian cotton bs damson</v>
          </cell>
          <cell r="I458" t="str">
            <v>egyptian cotton bs damson</v>
          </cell>
        </row>
        <row r="459">
          <cell r="G459">
            <v>60092934</v>
          </cell>
          <cell r="H459" t="str">
            <v>egyptian cotton bs crocus</v>
          </cell>
          <cell r="I459" t="str">
            <v>egyptian cotton bs crocus</v>
          </cell>
        </row>
        <row r="460">
          <cell r="G460">
            <v>60092954</v>
          </cell>
          <cell r="H460" t="str">
            <v>egyptian bs ny yellow</v>
          </cell>
          <cell r="I460" t="str">
            <v>egyptian bs ny yellow</v>
          </cell>
        </row>
        <row r="461">
          <cell r="G461">
            <v>60092958</v>
          </cell>
          <cell r="H461" t="str">
            <v>egyptian bs  myrtle green</v>
          </cell>
          <cell r="I461" t="str">
            <v>egyptian bs  myrtle green</v>
          </cell>
        </row>
        <row r="462">
          <cell r="G462">
            <v>60092962</v>
          </cell>
          <cell r="H462" t="str">
            <v>egyptian bs sapphire</v>
          </cell>
          <cell r="I462" t="str">
            <v>egyptian bs sapphire</v>
          </cell>
        </row>
        <row r="463">
          <cell r="G463">
            <v>60099502</v>
          </cell>
          <cell r="H463" t="str">
            <v/>
          </cell>
          <cell r="I463" t="str">
            <v>egyptian fc x2 bluebel</v>
          </cell>
        </row>
        <row r="464">
          <cell r="G464">
            <v>60099503</v>
          </cell>
          <cell r="H464" t="str">
            <v/>
          </cell>
          <cell r="I464" t="str">
            <v>egyptian fc x2 sapphire</v>
          </cell>
        </row>
        <row r="465">
          <cell r="G465">
            <v>60099524</v>
          </cell>
          <cell r="H465" t="str">
            <v/>
          </cell>
          <cell r="I465" t="str">
            <v>egyptian fc x2 crocus</v>
          </cell>
        </row>
        <row r="466">
          <cell r="G466">
            <v>60099527</v>
          </cell>
          <cell r="H466" t="str">
            <v/>
          </cell>
          <cell r="I466" t="str">
            <v>egyptian fc x2 damson</v>
          </cell>
        </row>
        <row r="467">
          <cell r="G467">
            <v>60099529</v>
          </cell>
          <cell r="H467" t="str">
            <v/>
          </cell>
          <cell r="I467" t="str">
            <v>egyptian fc x2 ny yellow</v>
          </cell>
        </row>
        <row r="468">
          <cell r="G468">
            <v>60099530</v>
          </cell>
          <cell r="H468" t="str">
            <v/>
          </cell>
          <cell r="I468" t="str">
            <v>egyptian fc x2 mustard</v>
          </cell>
        </row>
        <row r="469">
          <cell r="G469">
            <v>60099534</v>
          </cell>
          <cell r="H469" t="str">
            <v/>
          </cell>
          <cell r="I469" t="str">
            <v>egyptian fc x2 hib pink</v>
          </cell>
        </row>
        <row r="470">
          <cell r="G470">
            <v>60099562</v>
          </cell>
          <cell r="H470" t="str">
            <v/>
          </cell>
          <cell r="I470" t="str">
            <v>egyptian fcx2 myrtle green</v>
          </cell>
        </row>
        <row r="471">
          <cell r="G471">
            <v>60099601</v>
          </cell>
          <cell r="H471" t="str">
            <v/>
          </cell>
          <cell r="I471" t="str">
            <v>#egyptian 4 pc bale white</v>
          </cell>
        </row>
        <row r="472">
          <cell r="G472">
            <v>60099602</v>
          </cell>
          <cell r="H472" t="str">
            <v/>
          </cell>
          <cell r="I472" t="str">
            <v>#egyptian 4 piece bale linen</v>
          </cell>
        </row>
        <row r="473">
          <cell r="G473">
            <v>60099604</v>
          </cell>
          <cell r="H473" t="str">
            <v/>
          </cell>
          <cell r="I473" t="str">
            <v>#egyptian 4 piece bale pacif</v>
          </cell>
        </row>
        <row r="474">
          <cell r="G474">
            <v>60099605</v>
          </cell>
          <cell r="H474" t="str">
            <v/>
          </cell>
          <cell r="I474" t="str">
            <v>egyptian 4 piece bale dove</v>
          </cell>
        </row>
        <row r="475">
          <cell r="G475">
            <v>60099606</v>
          </cell>
          <cell r="H475" t="str">
            <v/>
          </cell>
          <cell r="I475" t="str">
            <v>egyptian bale dk steel</v>
          </cell>
        </row>
        <row r="476">
          <cell r="G476">
            <v>60099608</v>
          </cell>
          <cell r="H476" t="str">
            <v/>
          </cell>
          <cell r="I476" t="str">
            <v>egyptian 4 pc bale dark teal</v>
          </cell>
        </row>
        <row r="477">
          <cell r="G477">
            <v>60092502</v>
          </cell>
          <cell r="H477" t="str">
            <v>EGY FC S/2, Rose</v>
          </cell>
          <cell r="I477" t="str">
            <v>EGY FC S/2, Rose</v>
          </cell>
        </row>
        <row r="478">
          <cell r="G478">
            <v>60092706</v>
          </cell>
          <cell r="H478" t="str">
            <v>EGY HT, Rose</v>
          </cell>
          <cell r="I478" t="str">
            <v>EGY HT, Rose</v>
          </cell>
        </row>
        <row r="479">
          <cell r="G479">
            <v>60092628</v>
          </cell>
          <cell r="H479" t="str">
            <v>EGY GT, Rose</v>
          </cell>
          <cell r="I479" t="str">
            <v>EGY GT, Rose</v>
          </cell>
        </row>
        <row r="480">
          <cell r="G480">
            <v>60092817</v>
          </cell>
          <cell r="H480" t="str">
            <v>EGY BT, Rose</v>
          </cell>
          <cell r="I480" t="str">
            <v>EGY BT, Rose</v>
          </cell>
        </row>
        <row r="481">
          <cell r="G481">
            <v>60092917</v>
          </cell>
          <cell r="H481" t="str">
            <v>EGY BS, Rose</v>
          </cell>
          <cell r="I481" t="str">
            <v>EGY BS, Rose</v>
          </cell>
        </row>
        <row r="482">
          <cell r="G482">
            <v>6005</v>
          </cell>
          <cell r="H482" t="str">
            <v xml:space="preserve">Basic Light cotton ht navy </v>
          </cell>
          <cell r="I482" t="str">
            <v xml:space="preserve">Basic Light cotton ht navy </v>
          </cell>
        </row>
        <row r="483">
          <cell r="G483">
            <v>6005</v>
          </cell>
          <cell r="H483" t="str">
            <v>Basic Light cotton Linen HT</v>
          </cell>
          <cell r="I483" t="str">
            <v>Basic Light cotton Linen HT</v>
          </cell>
        </row>
        <row r="484">
          <cell r="G484">
            <v>6005</v>
          </cell>
          <cell r="H484" t="str">
            <v>Basic Light cotton bt navy</v>
          </cell>
          <cell r="I484" t="str">
            <v>Basic Light cotton bt navy</v>
          </cell>
        </row>
        <row r="485">
          <cell r="G485">
            <v>6005</v>
          </cell>
          <cell r="H485" t="str">
            <v>Basic Light cotton Linen BT</v>
          </cell>
          <cell r="I485" t="str">
            <v>Basic Light cotton Linen BT</v>
          </cell>
        </row>
        <row r="486">
          <cell r="G486">
            <v>6005</v>
          </cell>
          <cell r="H486" t="str">
            <v>Basic Light cotton bs navy</v>
          </cell>
          <cell r="I486" t="str">
            <v>Basic Light cotton bs navy</v>
          </cell>
        </row>
        <row r="487">
          <cell r="G487">
            <v>6005</v>
          </cell>
          <cell r="H487" t="str">
            <v>Basic Light cotton Linen BS</v>
          </cell>
          <cell r="I487" t="str">
            <v>Basic Light cotton Linen BS</v>
          </cell>
        </row>
        <row r="488">
          <cell r="G488">
            <v>6005</v>
          </cell>
          <cell r="H488" t="str">
            <v/>
          </cell>
          <cell r="I488" t="str">
            <v>Basic Light Cotton Pollen Yellow  HT</v>
          </cell>
        </row>
        <row r="489">
          <cell r="G489">
            <v>6005</v>
          </cell>
          <cell r="H489" t="str">
            <v/>
          </cell>
          <cell r="I489" t="str">
            <v>Basic Light Cotton Pollen Yellow  BT</v>
          </cell>
        </row>
        <row r="490">
          <cell r="G490">
            <v>6005</v>
          </cell>
          <cell r="H490" t="str">
            <v/>
          </cell>
          <cell r="I490" t="str">
            <v>Basic Light Cotton Pollen Yellow  BS</v>
          </cell>
        </row>
        <row r="491">
          <cell r="G491">
            <v>6005</v>
          </cell>
          <cell r="H491" t="str">
            <v>4pc col defence bale linen</v>
          </cell>
          <cell r="I491" t="str">
            <v>4pc col defence bale linen</v>
          </cell>
        </row>
        <row r="492">
          <cell r="G492">
            <v>6005</v>
          </cell>
          <cell r="H492" t="str">
            <v>4pc col defence bale p pink</v>
          </cell>
          <cell r="I492" t="str">
            <v>4pc col defence bale p pink</v>
          </cell>
        </row>
        <row r="493">
          <cell r="G493">
            <v>6005</v>
          </cell>
          <cell r="H493" t="str">
            <v/>
          </cell>
          <cell r="I493" t="str">
            <v>Basic Light Cotton Peacock HT</v>
          </cell>
        </row>
        <row r="494">
          <cell r="G494">
            <v>6005</v>
          </cell>
          <cell r="H494" t="str">
            <v/>
          </cell>
          <cell r="I494" t="str">
            <v>Basic Light Cotton Peacock BT</v>
          </cell>
        </row>
        <row r="495">
          <cell r="G495">
            <v>6005</v>
          </cell>
          <cell r="H495" t="str">
            <v/>
          </cell>
          <cell r="I495" t="str">
            <v>Basic Light Cotton Peacock BS</v>
          </cell>
        </row>
        <row r="496">
          <cell r="G496">
            <v>60028245</v>
          </cell>
          <cell r="H496" t="str">
            <v>egyptian cotton bm damson</v>
          </cell>
          <cell r="I496" t="str">
            <v>egyptian cotton bm damson</v>
          </cell>
        </row>
        <row r="497">
          <cell r="G497">
            <v>60023207</v>
          </cell>
          <cell r="H497" t="str">
            <v>bbble bm bluestone</v>
          </cell>
          <cell r="I497" t="str">
            <v>recycled polyester bobble bm bluestone</v>
          </cell>
        </row>
        <row r="498">
          <cell r="G498">
            <v>60023221</v>
          </cell>
          <cell r="H498" t="str">
            <v>bbble bm cobalt</v>
          </cell>
          <cell r="I498" t="str">
            <v>recycled polyester bobble bath mat colbalt</v>
          </cell>
        </row>
        <row r="499">
          <cell r="G499">
            <v>60023210</v>
          </cell>
          <cell r="H499" t="str">
            <v>bbble bm bwling grn</v>
          </cell>
          <cell r="I499" t="str">
            <v>recycled polyester bobble bath mat blowing green</v>
          </cell>
        </row>
        <row r="500">
          <cell r="G500">
            <v>60023215</v>
          </cell>
          <cell r="H500" t="str">
            <v>bbble bm hib pnk</v>
          </cell>
          <cell r="I500" t="str">
            <v>recycled polyester bobble bath mat hibiscus pink</v>
          </cell>
        </row>
        <row r="501">
          <cell r="G501">
            <v>60023218</v>
          </cell>
          <cell r="H501" t="str">
            <v>bbble bm sunshn yllw</v>
          </cell>
          <cell r="I501" t="str">
            <v>recycled polyester bobble bath mat sunshine yellow</v>
          </cell>
        </row>
        <row r="502">
          <cell r="G502">
            <v>600309</v>
          </cell>
          <cell r="H502" t="str">
            <v>egypt bath mat umber</v>
          </cell>
          <cell r="I502" t="str">
            <v>egyptian bath mat umber</v>
          </cell>
        </row>
        <row r="503">
          <cell r="G503">
            <v>60028244</v>
          </cell>
          <cell r="H503" t="str">
            <v>egyptian bath mat grey</v>
          </cell>
          <cell r="I503" t="str">
            <v>egyptian bath mat grey</v>
          </cell>
        </row>
        <row r="504">
          <cell r="G504">
            <v>60028243</v>
          </cell>
          <cell r="H504" t="str">
            <v xml:space="preserve">egyptian BM tawny birch </v>
          </cell>
          <cell r="I504" t="str">
            <v xml:space="preserve">egyptian BM tawny birch </v>
          </cell>
        </row>
        <row r="505">
          <cell r="G505">
            <v>60028242</v>
          </cell>
          <cell r="H505" t="str">
            <v>egyptian bath mat amarth</v>
          </cell>
          <cell r="I505" t="str">
            <v>egyptian bath mat amarth</v>
          </cell>
        </row>
        <row r="506">
          <cell r="G506">
            <v>60028241</v>
          </cell>
          <cell r="H506" t="str">
            <v>egyptian bath mat mauve</v>
          </cell>
          <cell r="I506" t="str">
            <v>egyptian bath mat mauve</v>
          </cell>
        </row>
        <row r="507">
          <cell r="G507">
            <v>60028240</v>
          </cell>
          <cell r="H507" t="str">
            <v xml:space="preserve">egyptian bath mat mink </v>
          </cell>
          <cell r="I507" t="str">
            <v xml:space="preserve">egyptian bath mat mink </v>
          </cell>
        </row>
        <row r="508">
          <cell r="G508">
            <v>60028239</v>
          </cell>
          <cell r="H508" t="str">
            <v>egyptian bath mat soft yell</v>
          </cell>
          <cell r="I508" t="str">
            <v>egyptian bath mat soft yell</v>
          </cell>
        </row>
        <row r="509">
          <cell r="G509">
            <v>60028238</v>
          </cell>
          <cell r="H509" t="str">
            <v xml:space="preserve">egyptian BM baked clay </v>
          </cell>
          <cell r="I509" t="str">
            <v xml:space="preserve">egyptian BM baked clay </v>
          </cell>
        </row>
        <row r="510">
          <cell r="G510">
            <v>60028246</v>
          </cell>
          <cell r="H510" t="str">
            <v xml:space="preserve">egyptian bath mat rosemary </v>
          </cell>
          <cell r="I510" t="str">
            <v xml:space="preserve">egyptian bath mat rosemary </v>
          </cell>
        </row>
        <row r="511">
          <cell r="G511">
            <v>60028237</v>
          </cell>
          <cell r="H511" t="str">
            <v>egyptian bath mat sage</v>
          </cell>
          <cell r="I511" t="str">
            <v>egyptian bath mat sage</v>
          </cell>
        </row>
        <row r="512">
          <cell r="G512">
            <v>60028236</v>
          </cell>
          <cell r="H512" t="str">
            <v>egyptian bath mat slate</v>
          </cell>
          <cell r="I512" t="str">
            <v>egyptian bath mat slate</v>
          </cell>
        </row>
        <row r="513">
          <cell r="G513">
            <v>60028235</v>
          </cell>
          <cell r="H513" t="str">
            <v xml:space="preserve">egyptian bath mat soft teal </v>
          </cell>
          <cell r="I513" t="str">
            <v xml:space="preserve">egyptian bath mat soft teal </v>
          </cell>
        </row>
        <row r="514">
          <cell r="G514">
            <v>60028234</v>
          </cell>
          <cell r="H514" t="str">
            <v xml:space="preserve">egyptian BM ultra marine </v>
          </cell>
          <cell r="I514" t="str">
            <v xml:space="preserve">egyptian BM ultra marine </v>
          </cell>
        </row>
        <row r="515">
          <cell r="G515">
            <v>60028233</v>
          </cell>
          <cell r="H515" t="str">
            <v>egyptian bath mat fjord</v>
          </cell>
          <cell r="I515" t="str">
            <v>egyptian bath mat fjord</v>
          </cell>
        </row>
        <row r="516">
          <cell r="G516">
            <v>60028210</v>
          </cell>
          <cell r="H516" t="str">
            <v xml:space="preserve">egyptian bath mat evergreen </v>
          </cell>
          <cell r="I516" t="str">
            <v xml:space="preserve">egyptian bath mat evergreen </v>
          </cell>
        </row>
        <row r="517">
          <cell r="G517">
            <v>6004</v>
          </cell>
          <cell r="H517">
            <v>0</v>
          </cell>
          <cell r="I517" t="str">
            <v xml:space="preserve">SS24 egptytian robe palceholder S/M ( GSM TBC ) </v>
          </cell>
        </row>
        <row r="518">
          <cell r="G518">
            <v>6004</v>
          </cell>
          <cell r="H518">
            <v>0</v>
          </cell>
          <cell r="I518" t="str">
            <v xml:space="preserve">SS24 egptytian robe palceholder M/L ( GSM TBC ) </v>
          </cell>
        </row>
        <row r="519">
          <cell r="G519">
            <v>6009</v>
          </cell>
          <cell r="H519" t="str">
            <v/>
          </cell>
          <cell r="I519" t="str">
            <v xml:space="preserve">SS24 egyptian fine stripe HT </v>
          </cell>
        </row>
        <row r="520">
          <cell r="G520">
            <v>6009</v>
          </cell>
          <cell r="H520" t="str">
            <v/>
          </cell>
          <cell r="I520" t="str">
            <v xml:space="preserve">SS24 egyptian fine stripe BT </v>
          </cell>
        </row>
        <row r="521">
          <cell r="G521">
            <v>6009</v>
          </cell>
          <cell r="H521" t="str">
            <v/>
          </cell>
          <cell r="I521" t="str">
            <v xml:space="preserve">SS24 egyptian fine stripe BS </v>
          </cell>
        </row>
        <row r="522">
          <cell r="G522">
            <v>6009</v>
          </cell>
          <cell r="H522" t="str">
            <v/>
          </cell>
          <cell r="I522" t="str">
            <v xml:space="preserve">SS24 egyptian fine stripe BS LX  </v>
          </cell>
        </row>
        <row r="523">
          <cell r="G523">
            <v>6009</v>
          </cell>
          <cell r="H523" t="str">
            <v/>
          </cell>
          <cell r="I523" t="str">
            <v xml:space="preserve">SS24 egyptian fine stripe HT </v>
          </cell>
        </row>
        <row r="524">
          <cell r="G524">
            <v>6009</v>
          </cell>
          <cell r="H524" t="str">
            <v/>
          </cell>
          <cell r="I524" t="str">
            <v xml:space="preserve">SS24 egyptian fine stripe BT </v>
          </cell>
        </row>
        <row r="525">
          <cell r="G525">
            <v>6009</v>
          </cell>
          <cell r="H525" t="str">
            <v/>
          </cell>
          <cell r="I525" t="str">
            <v xml:space="preserve">SS24 egyptian fine stripe BS </v>
          </cell>
        </row>
        <row r="526">
          <cell r="G526">
            <v>6009</v>
          </cell>
          <cell r="H526" t="str">
            <v/>
          </cell>
          <cell r="I526" t="str">
            <v xml:space="preserve">SS24 egyptian fine stripe BS LX  </v>
          </cell>
        </row>
        <row r="527">
          <cell r="G527">
            <v>6009</v>
          </cell>
          <cell r="H527" t="str">
            <v/>
          </cell>
          <cell r="I527" t="str">
            <v xml:space="preserve">SS24 egyptian fine stripe HT </v>
          </cell>
        </row>
        <row r="528">
          <cell r="G528">
            <v>6009</v>
          </cell>
          <cell r="H528" t="str">
            <v/>
          </cell>
          <cell r="I528" t="str">
            <v xml:space="preserve">SS24 egyptian fine stripe BT </v>
          </cell>
        </row>
        <row r="529">
          <cell r="G529">
            <v>6009</v>
          </cell>
          <cell r="H529" t="str">
            <v/>
          </cell>
          <cell r="I529" t="str">
            <v xml:space="preserve">SS24 egyptian fine stripe BS </v>
          </cell>
        </row>
        <row r="530">
          <cell r="G530">
            <v>6009</v>
          </cell>
          <cell r="H530" t="str">
            <v/>
          </cell>
          <cell r="I530" t="str">
            <v xml:space="preserve">SS24 egyptian fine stripe BS LX  </v>
          </cell>
        </row>
        <row r="531">
          <cell r="G531">
            <v>6009</v>
          </cell>
          <cell r="H531" t="str">
            <v/>
          </cell>
          <cell r="I531" t="str">
            <v xml:space="preserve">SS24 egyptian fine stripe HT </v>
          </cell>
        </row>
        <row r="532">
          <cell r="G532">
            <v>6009</v>
          </cell>
          <cell r="H532" t="str">
            <v/>
          </cell>
          <cell r="I532" t="str">
            <v xml:space="preserve">SS24 egyptian fine stripe BT </v>
          </cell>
        </row>
        <row r="533">
          <cell r="G533">
            <v>6009</v>
          </cell>
          <cell r="H533" t="str">
            <v/>
          </cell>
          <cell r="I533" t="str">
            <v xml:space="preserve">SS24 egyptian fine stripe BS </v>
          </cell>
        </row>
        <row r="534">
          <cell r="G534">
            <v>6009</v>
          </cell>
          <cell r="H534" t="str">
            <v/>
          </cell>
          <cell r="I534" t="str">
            <v xml:space="preserve">SS24 egyptian fine stripe BS LX  </v>
          </cell>
        </row>
        <row r="535">
          <cell r="G535">
            <v>6009</v>
          </cell>
          <cell r="H535" t="str">
            <v/>
          </cell>
          <cell r="I535" t="str">
            <v xml:space="preserve">SS24 egyptian fine stripe HT </v>
          </cell>
        </row>
        <row r="536">
          <cell r="G536">
            <v>6009</v>
          </cell>
          <cell r="H536" t="str">
            <v/>
          </cell>
          <cell r="I536" t="str">
            <v xml:space="preserve">SS24 egyptian fine stripe BT </v>
          </cell>
        </row>
        <row r="537">
          <cell r="G537">
            <v>6009</v>
          </cell>
          <cell r="H537" t="str">
            <v/>
          </cell>
          <cell r="I537" t="str">
            <v xml:space="preserve">SS24 egyptian fine stripe BS </v>
          </cell>
        </row>
        <row r="538">
          <cell r="G538">
            <v>6009</v>
          </cell>
          <cell r="H538" t="str">
            <v/>
          </cell>
          <cell r="I538" t="str">
            <v xml:space="preserve">SS24 egyptian fine stripe BS LX  </v>
          </cell>
        </row>
        <row r="539">
          <cell r="G539">
            <v>6009</v>
          </cell>
          <cell r="H539" t="str">
            <v/>
          </cell>
          <cell r="I539" t="str">
            <v xml:space="preserve">SS24 egyptian fine stripe HT </v>
          </cell>
        </row>
        <row r="540">
          <cell r="G540">
            <v>6009</v>
          </cell>
          <cell r="H540" t="str">
            <v/>
          </cell>
          <cell r="I540" t="str">
            <v xml:space="preserve">SS24 egyptian fine stripe BT </v>
          </cell>
        </row>
        <row r="541">
          <cell r="G541">
            <v>6009</v>
          </cell>
          <cell r="H541" t="str">
            <v/>
          </cell>
          <cell r="I541" t="str">
            <v xml:space="preserve">SS24 egyptian fine stripe BS </v>
          </cell>
        </row>
        <row r="542">
          <cell r="G542">
            <v>6009</v>
          </cell>
          <cell r="H542" t="str">
            <v/>
          </cell>
          <cell r="I542" t="str">
            <v xml:space="preserve">SS24 egyptian fine stripe BS LX  </v>
          </cell>
        </row>
        <row r="543">
          <cell r="G543">
            <v>60092647</v>
          </cell>
          <cell r="H543" t="str">
            <v>egyptian gt Duck Egg</v>
          </cell>
          <cell r="I543" t="str">
            <v>egyptian gt Duck Egg</v>
          </cell>
        </row>
        <row r="544">
          <cell r="G544">
            <v>60092747</v>
          </cell>
          <cell r="H544" t="str">
            <v>egyptian ht Duck Egg</v>
          </cell>
          <cell r="I544" t="str">
            <v>egyptian ht Duck Egg</v>
          </cell>
        </row>
        <row r="545">
          <cell r="G545">
            <v>60092847</v>
          </cell>
          <cell r="H545" t="str">
            <v>egyptian bt Duck Egg</v>
          </cell>
          <cell r="I545" t="str">
            <v>egyptian bt Duck Egg</v>
          </cell>
        </row>
        <row r="546">
          <cell r="G546">
            <v>60092947</v>
          </cell>
          <cell r="H546" t="str">
            <v>egyptian bs Duck Egg</v>
          </cell>
          <cell r="I546" t="str">
            <v>egyptian bs Duck Egg</v>
          </cell>
        </row>
        <row r="547">
          <cell r="G547">
            <v>60099504</v>
          </cell>
          <cell r="H547" t="str">
            <v>egyptian fc x2 Duck Egg</v>
          </cell>
          <cell r="I547" t="str">
            <v>egyptian fc x2 Duck Egg</v>
          </cell>
        </row>
        <row r="548">
          <cell r="G548">
            <v>60028247</v>
          </cell>
          <cell r="H548" t="str">
            <v>egyptian bath mat umber</v>
          </cell>
          <cell r="I548" t="str">
            <v>egyptian bath mat umber</v>
          </cell>
        </row>
        <row r="549">
          <cell r="G549">
            <v>60028248</v>
          </cell>
          <cell r="H549" t="str">
            <v>egyptian bath mat Midnight</v>
          </cell>
          <cell r="I549" t="str">
            <v>egyptian bath mat Midnight</v>
          </cell>
        </row>
        <row r="550">
          <cell r="G550">
            <v>60092677</v>
          </cell>
          <cell r="H550" t="str">
            <v>egyptian gt Midnight</v>
          </cell>
          <cell r="I550" t="str">
            <v>egyptian gt Midnight</v>
          </cell>
        </row>
        <row r="551">
          <cell r="G551">
            <v>60092798</v>
          </cell>
          <cell r="H551" t="str">
            <v>EGY MS HT 90x50 Midnight</v>
          </cell>
          <cell r="I551" t="str">
            <v>EGY MS HT 90x50 Midnight</v>
          </cell>
        </row>
        <row r="552">
          <cell r="G552">
            <v>60092838</v>
          </cell>
          <cell r="H552" t="str">
            <v>EGY BT Midnight</v>
          </cell>
          <cell r="I552" t="str">
            <v>EGY BT Midnight</v>
          </cell>
        </row>
        <row r="553">
          <cell r="G553">
            <v>60092995</v>
          </cell>
          <cell r="H553" t="str">
            <v>EGY MS BS 160x90 Midnight</v>
          </cell>
          <cell r="I553" t="str">
            <v>EGY MS BS 160x90 Midnight</v>
          </cell>
        </row>
        <row r="554">
          <cell r="G554">
            <v>60092501</v>
          </cell>
          <cell r="H554" t="str">
            <v>EGY MS 30x30 FC x2 Midnight</v>
          </cell>
          <cell r="I554" t="str">
            <v>EGY MS 30x30 FC x2 Midnight</v>
          </cell>
        </row>
        <row r="555">
          <cell r="G555">
            <v>60086705</v>
          </cell>
          <cell r="H555" t="str">
            <v>UH MS HT 90x50 PPf</v>
          </cell>
          <cell r="I555" t="str">
            <v>UH MS HT 90x50 pale pacific</v>
          </cell>
        </row>
        <row r="556">
          <cell r="G556">
            <v>60086707</v>
          </cell>
          <cell r="H556" t="str">
            <v>UH MS HT 90x50 olve</v>
          </cell>
          <cell r="I556" t="str">
            <v>UH MS HT 90x50 olive</v>
          </cell>
        </row>
        <row r="557">
          <cell r="G557">
            <v>60086709</v>
          </cell>
          <cell r="H557" t="str">
            <v>UH MS HT 90x50 pp</v>
          </cell>
          <cell r="I557" t="str">
            <v>UH MS HT 90x50 pale pink</v>
          </cell>
        </row>
        <row r="558">
          <cell r="G558">
            <v>60086710</v>
          </cell>
          <cell r="H558" t="str">
            <v>UH MS HT 90x50 lin</v>
          </cell>
          <cell r="I558" t="str">
            <v>UH MS HT 90x50 linen</v>
          </cell>
        </row>
        <row r="559">
          <cell r="G559">
            <v>60086711</v>
          </cell>
          <cell r="H559" t="str">
            <v>UH MS HT 90x50 latt</v>
          </cell>
          <cell r="I559" t="str">
            <v>UH MS  HT 90x50 latte</v>
          </cell>
        </row>
        <row r="560">
          <cell r="G560">
            <v>60086712</v>
          </cell>
          <cell r="H560" t="str">
            <v>UH MS HT 90x50 Pacf</v>
          </cell>
          <cell r="I560" t="str">
            <v>UH MS HT 90x50 Pacific</v>
          </cell>
        </row>
        <row r="561">
          <cell r="G561">
            <v>60086718</v>
          </cell>
          <cell r="H561" t="str">
            <v>UH MS HT 90x50 W</v>
          </cell>
          <cell r="I561" t="str">
            <v>UH MS  HT 90x50 white</v>
          </cell>
        </row>
        <row r="562">
          <cell r="G562">
            <v>60086713</v>
          </cell>
          <cell r="H562" t="str">
            <v>UH MS HT 90x50 navy</v>
          </cell>
          <cell r="I562" t="str">
            <v>UH MS  HT 90x50 navy</v>
          </cell>
        </row>
        <row r="563">
          <cell r="G563">
            <v>60086719</v>
          </cell>
          <cell r="H563" t="str">
            <v>UH MS HT 90x50 oyt</v>
          </cell>
          <cell r="I563" t="str">
            <v>UH MS  HT 90x50 oyster</v>
          </cell>
        </row>
        <row r="564">
          <cell r="G564">
            <v>60086714</v>
          </cell>
          <cell r="H564" t="str">
            <v>UH MS HT 90x50 clv</v>
          </cell>
          <cell r="I564" t="str">
            <v>UH MS  HT 90x50 clover</v>
          </cell>
        </row>
        <row r="565">
          <cell r="G565">
            <v>60086716</v>
          </cell>
          <cell r="H565" t="str">
            <v>UH MS HT 90x50 D</v>
          </cell>
          <cell r="I565" t="str">
            <v>UH MS  HT 90x50 dove grey</v>
          </cell>
        </row>
        <row r="566">
          <cell r="G566">
            <v>60086805</v>
          </cell>
          <cell r="H566" t="str">
            <v>UH MS BT 135x70 PPf</v>
          </cell>
          <cell r="I566" t="str">
            <v>UH MS BT 135x70 pale pacific</v>
          </cell>
        </row>
        <row r="567">
          <cell r="G567">
            <v>60086806</v>
          </cell>
          <cell r="H567" t="str">
            <v>UH MS BT 135x70 olve</v>
          </cell>
          <cell r="I567" t="str">
            <v>UH MS BT 135x70 olive</v>
          </cell>
        </row>
        <row r="568">
          <cell r="G568">
            <v>60086809</v>
          </cell>
          <cell r="H568" t="str">
            <v>UH MS BT 135x70 pp</v>
          </cell>
          <cell r="I568" t="str">
            <v>UH MS BT 135x70 pale pink</v>
          </cell>
        </row>
        <row r="569">
          <cell r="G569">
            <v>60086810</v>
          </cell>
          <cell r="H569" t="str">
            <v>UH MS BT 135x70 lin</v>
          </cell>
          <cell r="I569" t="str">
            <v>UH MS BT 135x70 linen</v>
          </cell>
        </row>
        <row r="570">
          <cell r="G570">
            <v>60086811</v>
          </cell>
          <cell r="H570" t="str">
            <v>UH MS BT 135x70 latt</v>
          </cell>
          <cell r="I570" t="str">
            <v>UH MS BT 135x70 latte</v>
          </cell>
        </row>
        <row r="571">
          <cell r="G571">
            <v>60086812</v>
          </cell>
          <cell r="H571" t="str">
            <v>UH MS BT 135x70 Pacf</v>
          </cell>
          <cell r="I571" t="str">
            <v xml:space="preserve">UH MS BT 135x70 Pacific </v>
          </cell>
        </row>
        <row r="572">
          <cell r="G572">
            <v>60086813</v>
          </cell>
          <cell r="H572" t="str">
            <v>UH MS BT 135x70 W</v>
          </cell>
          <cell r="I572" t="str">
            <v>UH MS BT 135x70 white</v>
          </cell>
        </row>
        <row r="573">
          <cell r="G573">
            <v>60086814</v>
          </cell>
          <cell r="H573" t="str">
            <v>UH MS BT 135x70 nvy</v>
          </cell>
          <cell r="I573" t="str">
            <v>UH MS BT 135x70 navy</v>
          </cell>
        </row>
        <row r="574">
          <cell r="G574">
            <v>60086815</v>
          </cell>
          <cell r="H574" t="str">
            <v>UH MS BT 135x70 oyt</v>
          </cell>
          <cell r="I574" t="str">
            <v>UH MS BT 135x70 oyster</v>
          </cell>
        </row>
        <row r="575">
          <cell r="G575">
            <v>60086817</v>
          </cell>
          <cell r="H575" t="str">
            <v>UH MS BT 135x70 clv</v>
          </cell>
          <cell r="I575" t="str">
            <v>UH MS BT 135x70 clover</v>
          </cell>
        </row>
        <row r="576">
          <cell r="G576">
            <v>60086818</v>
          </cell>
          <cell r="H576" t="str">
            <v>UH MS BT 135x70 D</v>
          </cell>
          <cell r="I576" t="str">
            <v>UH MS BT 135x70 dove grey</v>
          </cell>
        </row>
        <row r="577">
          <cell r="G577">
            <v>60086905</v>
          </cell>
          <cell r="H577" t="str">
            <v>UH MS BS 160x90 PPf</v>
          </cell>
          <cell r="I577" t="str">
            <v>UH MS BS 160x90 pale pacific</v>
          </cell>
        </row>
        <row r="578">
          <cell r="G578">
            <v>60086906</v>
          </cell>
          <cell r="H578" t="str">
            <v>UH MS BS 160x90 olve</v>
          </cell>
          <cell r="I578" t="str">
            <v>UH MS BS 160x90 olive</v>
          </cell>
        </row>
        <row r="579">
          <cell r="G579">
            <v>60086949</v>
          </cell>
          <cell r="H579" t="str">
            <v>UH MS BS 160x90 pp</v>
          </cell>
          <cell r="I579" t="str">
            <v>UH MS BS 160x90 pale pink</v>
          </cell>
        </row>
        <row r="580">
          <cell r="G580">
            <v>60086958</v>
          </cell>
          <cell r="H580" t="str">
            <v>UH MS BS 160x90 lin</v>
          </cell>
          <cell r="I580" t="str">
            <v>UH MS BS 160x90 linen</v>
          </cell>
        </row>
        <row r="581">
          <cell r="G581">
            <v>60086950</v>
          </cell>
          <cell r="H581" t="str">
            <v>UH MS BS 160x90 Paf</v>
          </cell>
          <cell r="I581" t="str">
            <v>UH MS BS 160x90 Pacific</v>
          </cell>
        </row>
        <row r="582">
          <cell r="G582">
            <v>60086951</v>
          </cell>
          <cell r="H582" t="str">
            <v>UH MS BS 160x90 latt</v>
          </cell>
          <cell r="I582" t="str">
            <v>UH MS BS 160x90 latte</v>
          </cell>
        </row>
        <row r="583">
          <cell r="G583">
            <v>60086952</v>
          </cell>
          <cell r="H583" t="str">
            <v>UH MS BS 160x90 W</v>
          </cell>
          <cell r="I583" t="str">
            <v>UH MS BS 160x90 white</v>
          </cell>
        </row>
        <row r="584">
          <cell r="G584">
            <v>60086953</v>
          </cell>
          <cell r="H584" t="str">
            <v>UH MS BS 160x90 nvy</v>
          </cell>
          <cell r="I584" t="str">
            <v>UH MS BS 160x90 navy</v>
          </cell>
        </row>
        <row r="585">
          <cell r="G585">
            <v>60086954</v>
          </cell>
          <cell r="H585" t="str">
            <v>UH MS BS 160x90 oyt</v>
          </cell>
          <cell r="I585" t="str">
            <v>UH MS BS 160x90 oyster</v>
          </cell>
        </row>
        <row r="586">
          <cell r="G586">
            <v>60086955</v>
          </cell>
          <cell r="H586" t="str">
            <v>UH MS BS 160x90 clv</v>
          </cell>
          <cell r="I586" t="str">
            <v>UH MS BS 160x90 clover</v>
          </cell>
        </row>
        <row r="587">
          <cell r="G587">
            <v>60086956</v>
          </cell>
          <cell r="H587" t="str">
            <v>UH MS BS 160x90 D</v>
          </cell>
          <cell r="I587" t="str">
            <v>UH MS BS 160x90 dove grey</v>
          </cell>
        </row>
        <row r="588">
          <cell r="G588">
            <v>60087003</v>
          </cell>
          <cell r="H588" t="str">
            <v>UH MS XLBS 180x100 W</v>
          </cell>
          <cell r="I588" t="str">
            <v>UH MS XL BS 180x100 white</v>
          </cell>
        </row>
        <row r="589">
          <cell r="G589">
            <v>60087004</v>
          </cell>
          <cell r="H589" t="str">
            <v>UH MS XLBS 180x100 D</v>
          </cell>
          <cell r="I589" t="str">
            <v>UH MS XLBS 180x100 dove grey</v>
          </cell>
        </row>
        <row r="590">
          <cell r="G590">
            <v>60086501</v>
          </cell>
          <cell r="H590" t="str">
            <v>UH MS 30x30 FCx2 olv</v>
          </cell>
          <cell r="I590" t="str">
            <v>UH MS 30x30 FCx2 olive</v>
          </cell>
        </row>
        <row r="591">
          <cell r="G591">
            <v>60086502</v>
          </cell>
          <cell r="H591" t="str">
            <v>UH MS 30x30 FCx2 ppk</v>
          </cell>
          <cell r="I591" t="str">
            <v>UH MS 30x30 FCx2 pale pink</v>
          </cell>
        </row>
        <row r="592">
          <cell r="G592">
            <v>60086503</v>
          </cell>
          <cell r="H592" t="str">
            <v>UH MS 30x30 FCx2 PPf</v>
          </cell>
          <cell r="I592" t="str">
            <v>UH MS 30x30 FCx2 p pacific</v>
          </cell>
        </row>
        <row r="593">
          <cell r="G593">
            <v>60086505</v>
          </cell>
          <cell r="H593" t="str">
            <v>UH MS 30x30 FCx2 lin</v>
          </cell>
          <cell r="I593" t="str">
            <v>UH MS 30x30 FCx2 linen</v>
          </cell>
        </row>
        <row r="594">
          <cell r="G594">
            <v>60086506</v>
          </cell>
          <cell r="H594" t="str">
            <v>UH MS 30x30 FCx2 Paf</v>
          </cell>
          <cell r="I594" t="str">
            <v>UH MS 30x30 FCx2 Pacific</v>
          </cell>
        </row>
        <row r="595">
          <cell r="G595">
            <v>60086507</v>
          </cell>
          <cell r="H595" t="str">
            <v>UH MS 30x30 FCx2 nvy</v>
          </cell>
          <cell r="I595" t="str">
            <v>UH MS 30x30 FCx2 navy</v>
          </cell>
        </row>
        <row r="596">
          <cell r="G596">
            <v>60086508</v>
          </cell>
          <cell r="H596" t="str">
            <v>UH MS 30x30 FCx2 D</v>
          </cell>
          <cell r="I596" t="str">
            <v>UH MS 30x30 FCx2 dove grey</v>
          </cell>
        </row>
        <row r="597">
          <cell r="G597">
            <v>60086509</v>
          </cell>
          <cell r="H597" t="str">
            <v>UH MS 30x30 FCx2 lat</v>
          </cell>
          <cell r="I597" t="str">
            <v>UH MS 30x30 FCx2 latte</v>
          </cell>
        </row>
        <row r="598">
          <cell r="G598">
            <v>60086514</v>
          </cell>
          <cell r="H598" t="str">
            <v>UH MS 30x30 FCx2 oyt</v>
          </cell>
          <cell r="I598" t="str">
            <v>UH MS 30x30 FCx2 oyster</v>
          </cell>
        </row>
        <row r="599">
          <cell r="G599">
            <v>60086510</v>
          </cell>
          <cell r="H599" t="str">
            <v>UH MS 30x30 FCx2 clv</v>
          </cell>
          <cell r="I599" t="str">
            <v>UH MS 30x30 FCx2 clover</v>
          </cell>
        </row>
        <row r="600">
          <cell r="G600">
            <v>60086511</v>
          </cell>
          <cell r="H600" t="str">
            <v>UH MS 30x30 FCx2 W</v>
          </cell>
          <cell r="I600" t="str">
            <v>UH MS 30x30 FCx2 white</v>
          </cell>
        </row>
        <row r="601">
          <cell r="G601">
            <v>60086512</v>
          </cell>
          <cell r="H601" t="str">
            <v>UH MS 30x30 FCx2 STL</v>
          </cell>
          <cell r="I601" t="str">
            <v>UH MS 30x30 FCx2 Drk Steel</v>
          </cell>
        </row>
        <row r="602">
          <cell r="G602">
            <v>60086717</v>
          </cell>
          <cell r="H602" t="str">
            <v>UH MS HT 90x50 STL</v>
          </cell>
          <cell r="I602" t="str">
            <v>UH MS HT 90x50 Drk Steel</v>
          </cell>
        </row>
        <row r="603">
          <cell r="G603">
            <v>60086819</v>
          </cell>
          <cell r="H603" t="str">
            <v>UH MS BT 135x70 STL</v>
          </cell>
          <cell r="I603" t="str">
            <v>UH MS BT 135x70 Drk Steel</v>
          </cell>
        </row>
        <row r="604">
          <cell r="G604">
            <v>60086957</v>
          </cell>
          <cell r="H604" t="str">
            <v>UH MS BS 160x90 STL</v>
          </cell>
          <cell r="I604" t="str">
            <v>UH MS BS 160x90 Drk Steel</v>
          </cell>
        </row>
        <row r="605">
          <cell r="G605">
            <v>60092730</v>
          </cell>
          <cell r="H605" t="str">
            <v>egyptian ht white</v>
          </cell>
          <cell r="I605" t="str">
            <v>EGY MS HT 90x50 white</v>
          </cell>
        </row>
        <row r="606">
          <cell r="G606">
            <v>60092772</v>
          </cell>
          <cell r="H606" t="str">
            <v>egyptian ht stone</v>
          </cell>
          <cell r="I606" t="str">
            <v>EGY MS HT 90x50 stone</v>
          </cell>
        </row>
        <row r="607">
          <cell r="G607">
            <v>60092785</v>
          </cell>
          <cell r="H607" t="str">
            <v>egyptian cotton ht silv grey</v>
          </cell>
          <cell r="I607" t="str">
            <v>EGY MS HT 90x50 silv grey</v>
          </cell>
        </row>
        <row r="608">
          <cell r="G608">
            <v>60092784</v>
          </cell>
          <cell r="H608" t="str">
            <v>egyptian cotton ht grey dove</v>
          </cell>
          <cell r="I608" t="str">
            <v>EGY MS HT 90x50 grey dove</v>
          </cell>
        </row>
        <row r="609">
          <cell r="G609">
            <v>60092786</v>
          </cell>
          <cell r="H609" t="str">
            <v>egyptian cotton ht dk evgren</v>
          </cell>
          <cell r="I609" t="str">
            <v>EGY MS HT 90x50 dk evgren</v>
          </cell>
        </row>
        <row r="610">
          <cell r="G610">
            <v>60092788</v>
          </cell>
          <cell r="H610" t="str">
            <v>egyptian cotton ht cream</v>
          </cell>
          <cell r="I610" t="str">
            <v>EGY MS HT 90x50 cream</v>
          </cell>
        </row>
        <row r="611">
          <cell r="G611">
            <v>60092797</v>
          </cell>
          <cell r="H611" t="str">
            <v>Egyptian Dusty Green HT</v>
          </cell>
          <cell r="I611" t="str">
            <v>EGY MS Dusty Green HT 90x50</v>
          </cell>
        </row>
        <row r="612">
          <cell r="G612">
            <v>60092790</v>
          </cell>
          <cell r="H612" t="str">
            <v>Egyptian Dark Blue HT</v>
          </cell>
          <cell r="I612" t="str">
            <v>EGY MS Dark Blue HT 90x50</v>
          </cell>
        </row>
        <row r="613">
          <cell r="G613">
            <v>60092774</v>
          </cell>
          <cell r="H613" t="str">
            <v>egyptian ht navy</v>
          </cell>
          <cell r="I613" t="str">
            <v>EGY MS HT 90x50 navy</v>
          </cell>
        </row>
        <row r="614">
          <cell r="G614">
            <v>60092783</v>
          </cell>
          <cell r="H614" t="str">
            <v>egyptian ht pacific</v>
          </cell>
          <cell r="I614" t="str">
            <v>EGY MS HT 90x50 pacific</v>
          </cell>
        </row>
        <row r="615">
          <cell r="G615">
            <v>60092795</v>
          </cell>
          <cell r="H615" t="str">
            <v>egyptian cotton ht smokey gy</v>
          </cell>
          <cell r="I615" t="str">
            <v>EGY MS HT 90x50 smokey gy</v>
          </cell>
        </row>
        <row r="616">
          <cell r="G616">
            <v>60092794</v>
          </cell>
          <cell r="H616" t="str">
            <v>egyptian cotton ht pale pink</v>
          </cell>
          <cell r="I616" t="str">
            <v>EGY MS HT 90x50 pale pink</v>
          </cell>
        </row>
        <row r="617">
          <cell r="G617">
            <v>60092775</v>
          </cell>
          <cell r="H617" t="str">
            <v>egyptian ht black</v>
          </cell>
          <cell r="I617" t="str">
            <v>EGY MS HT 90x50 black</v>
          </cell>
        </row>
        <row r="618">
          <cell r="G618">
            <v>60092793</v>
          </cell>
          <cell r="H618" t="str">
            <v>egyptian cotton ht dark teal</v>
          </cell>
          <cell r="I618" t="str">
            <v>EGY MS HT 90x50 dark teal</v>
          </cell>
        </row>
        <row r="619">
          <cell r="G619">
            <v>60092755</v>
          </cell>
          <cell r="H619" t="str">
            <v>egyptian cotton ht eucalypts</v>
          </cell>
          <cell r="I619" t="str">
            <v>EGY MS HT 90x50 eucalypts</v>
          </cell>
        </row>
        <row r="620">
          <cell r="G620">
            <v>60092789</v>
          </cell>
          <cell r="H620" t="str">
            <v>egyptian cotton ht p pacific</v>
          </cell>
          <cell r="I620" t="str">
            <v>EGY MS HT 90x50 p pacific</v>
          </cell>
        </row>
        <row r="621">
          <cell r="G621">
            <v>60092735</v>
          </cell>
          <cell r="H621" t="str">
            <v>egyptian ht claret</v>
          </cell>
          <cell r="I621" t="str">
            <v>EGY MS HT 90x50 claret</v>
          </cell>
        </row>
        <row r="622">
          <cell r="G622">
            <v>60092777</v>
          </cell>
          <cell r="H622" t="str">
            <v>egyptian ht linen</v>
          </cell>
          <cell r="I622" t="str">
            <v>EGY MS HT 90x50 linen</v>
          </cell>
        </row>
        <row r="623">
          <cell r="G623">
            <v>60092791</v>
          </cell>
          <cell r="H623" t="str">
            <v>egyptian ht dark steel</v>
          </cell>
          <cell r="I623" t="str">
            <v>EGY MS HT 90x50 dark steel</v>
          </cell>
        </row>
        <row r="624">
          <cell r="G624">
            <v>60092792</v>
          </cell>
          <cell r="H624" t="str">
            <v>egyptian ht pale teal</v>
          </cell>
          <cell r="I624" t="str">
            <v>EGY MS HT 90x50 pale teal</v>
          </cell>
        </row>
        <row r="625">
          <cell r="G625">
            <v>60092970</v>
          </cell>
          <cell r="H625" t="str">
            <v>egyptian bs white</v>
          </cell>
          <cell r="I625" t="str">
            <v>EGY MS BS 160x90 white</v>
          </cell>
        </row>
        <row r="626">
          <cell r="G626">
            <v>60092971</v>
          </cell>
          <cell r="H626" t="str">
            <v>egyptian bs stone</v>
          </cell>
          <cell r="I626" t="str">
            <v>EGY MS BS 160x90 stone</v>
          </cell>
        </row>
        <row r="627">
          <cell r="G627">
            <v>60092992</v>
          </cell>
          <cell r="H627" t="str">
            <v>egyptian cotton bs silv grey</v>
          </cell>
          <cell r="I627" t="str">
            <v>EGY MS  BS 160x90 silv grey</v>
          </cell>
        </row>
        <row r="628">
          <cell r="G628">
            <v>60092953</v>
          </cell>
          <cell r="H628" t="str">
            <v>egyptian cotton bs grey dove</v>
          </cell>
          <cell r="I628" t="str">
            <v>EGY MS  BS 160x90 grey dove</v>
          </cell>
        </row>
        <row r="629">
          <cell r="G629">
            <v>60092991</v>
          </cell>
          <cell r="H629" t="str">
            <v>egyptian cotton bs cream</v>
          </cell>
          <cell r="I629" t="str">
            <v>EGY MS  BS 160x90 cream</v>
          </cell>
        </row>
        <row r="630">
          <cell r="G630">
            <v>60092990</v>
          </cell>
          <cell r="H630" t="str">
            <v>egyptian cotton bs dk evgren</v>
          </cell>
          <cell r="I630" t="str">
            <v>EGY MS  BS 160x90 dk evgren</v>
          </cell>
        </row>
        <row r="631">
          <cell r="G631">
            <v>60092994</v>
          </cell>
          <cell r="H631" t="str">
            <v>Egyptian Dusty Green BS</v>
          </cell>
          <cell r="I631" t="str">
            <v>EGY MS Dusty Green BS 160x90</v>
          </cell>
        </row>
        <row r="632">
          <cell r="G632">
            <v>60092989</v>
          </cell>
          <cell r="H632" t="str">
            <v>Egyptian Dark Blue BS</v>
          </cell>
          <cell r="I632" t="str">
            <v>EGY MS Dark Blue BS 160x90</v>
          </cell>
        </row>
        <row r="633">
          <cell r="G633">
            <v>60092972</v>
          </cell>
          <cell r="H633" t="str">
            <v>egyptian bs navy</v>
          </cell>
          <cell r="I633" t="str">
            <v>EGY MS BS 160x90 navy</v>
          </cell>
        </row>
        <row r="634">
          <cell r="G634">
            <v>60092915</v>
          </cell>
          <cell r="H634" t="str">
            <v>egyptian bs pacific</v>
          </cell>
          <cell r="I634" t="str">
            <v>EGY MS BS 160x90 pacific</v>
          </cell>
        </row>
        <row r="635">
          <cell r="G635">
            <v>60092988</v>
          </cell>
          <cell r="H635" t="str">
            <v>egyptian cotton bs smokey gy</v>
          </cell>
          <cell r="I635" t="str">
            <v>EGY MS  BS 160x90 smokey gy</v>
          </cell>
        </row>
        <row r="636">
          <cell r="G636">
            <v>60092987</v>
          </cell>
          <cell r="H636" t="str">
            <v>egyptian cotton bs pale pink</v>
          </cell>
          <cell r="I636" t="str">
            <v>EGY MS  BS 160x90 pale pink</v>
          </cell>
        </row>
        <row r="637">
          <cell r="G637">
            <v>60092974</v>
          </cell>
          <cell r="H637" t="str">
            <v>egyptian bs black</v>
          </cell>
          <cell r="I637" t="str">
            <v>EGY MS BS 160x90 black</v>
          </cell>
        </row>
        <row r="638">
          <cell r="G638">
            <v>60092993</v>
          </cell>
          <cell r="H638" t="str">
            <v>egyptian cotton bs dark teal</v>
          </cell>
          <cell r="I638" t="str">
            <v>EGY MS  BS 160x90 dark teal</v>
          </cell>
        </row>
        <row r="639">
          <cell r="G639">
            <v>60092986</v>
          </cell>
          <cell r="H639" t="str">
            <v>egyptian cotton bs eucalypts</v>
          </cell>
          <cell r="I639" t="str">
            <v>EGY MS  BS 160x90 eucalypts</v>
          </cell>
        </row>
        <row r="640">
          <cell r="G640">
            <v>60092985</v>
          </cell>
          <cell r="H640" t="str">
            <v>egyptian cotton bs p pacific</v>
          </cell>
          <cell r="I640" t="str">
            <v>EGY MS  BS 160x90 p pacific</v>
          </cell>
        </row>
        <row r="641">
          <cell r="G641">
            <v>60092902</v>
          </cell>
          <cell r="H641" t="str">
            <v>egyptian bs claret</v>
          </cell>
          <cell r="I641" t="str">
            <v>EGY MS BS 160x90 claret</v>
          </cell>
        </row>
        <row r="642">
          <cell r="G642">
            <v>60092975</v>
          </cell>
          <cell r="H642" t="str">
            <v>egyptian bs linen</v>
          </cell>
          <cell r="I642" t="str">
            <v>EGY MS BS 160x90 linen</v>
          </cell>
        </row>
        <row r="643">
          <cell r="G643">
            <v>60092984</v>
          </cell>
          <cell r="H643" t="str">
            <v>#egyptian bs dark steel</v>
          </cell>
          <cell r="I643" t="str">
            <v>#EGY MS BS 160x90 dark steel</v>
          </cell>
        </row>
        <row r="644">
          <cell r="G644">
            <v>60092983</v>
          </cell>
          <cell r="H644" t="str">
            <v>egyptian bs pale teal</v>
          </cell>
          <cell r="I644" t="str">
            <v>EGY MS BS 160x90 pale teal</v>
          </cell>
        </row>
        <row r="645">
          <cell r="G645">
            <v>60099575</v>
          </cell>
          <cell r="H645" t="str">
            <v>egyptian fc x2 black</v>
          </cell>
          <cell r="I645" t="str">
            <v>EGY MS 30x30 FC x2 black</v>
          </cell>
        </row>
        <row r="646">
          <cell r="G646">
            <v>60099594</v>
          </cell>
          <cell r="H646" t="str">
            <v>egyptian fc x2 p pacific</v>
          </cell>
          <cell r="I646" t="str">
            <v>EGY MS 30x30 FC x2 p pacific</v>
          </cell>
        </row>
        <row r="647">
          <cell r="G647">
            <v>60099588</v>
          </cell>
          <cell r="H647" t="str">
            <v>egyptian fc x2 pacific</v>
          </cell>
          <cell r="I647" t="str">
            <v>EGY MS 30x30 FC x2 pacific</v>
          </cell>
        </row>
        <row r="648">
          <cell r="G648">
            <v>60099576</v>
          </cell>
          <cell r="H648" t="str">
            <v>egyptian fc x2 navy</v>
          </cell>
          <cell r="I648" t="str">
            <v>EGY MS 30x30 FC x2 navy</v>
          </cell>
        </row>
        <row r="649">
          <cell r="G649">
            <v>60099587</v>
          </cell>
          <cell r="H649" t="str">
            <v>egyptian fc x2 dk teal</v>
          </cell>
          <cell r="I649" t="str">
            <v>EGY MS 30x30 FC x2 dk teal</v>
          </cell>
        </row>
        <row r="650">
          <cell r="G650">
            <v>60099592</v>
          </cell>
          <cell r="H650" t="str">
            <v>egyptian fc x2 eucalyptus</v>
          </cell>
          <cell r="I650" t="str">
            <v>EGY MS 30x30 FC x2 eucalyptus</v>
          </cell>
        </row>
        <row r="651">
          <cell r="G651">
            <v>60099596</v>
          </cell>
          <cell r="H651" t="str">
            <v>egyptian fc x2 pale teal</v>
          </cell>
          <cell r="I651" t="str">
            <v>EGY MS 30x30 FC x2 pale teal</v>
          </cell>
        </row>
        <row r="652">
          <cell r="G652">
            <v>60099598</v>
          </cell>
          <cell r="H652" t="str">
            <v>egyptian fc x2 smokey grey</v>
          </cell>
          <cell r="I652" t="str">
            <v>EGY MS 30x30 FC x2 smokey grey</v>
          </cell>
        </row>
        <row r="653">
          <cell r="G653">
            <v>60099586</v>
          </cell>
          <cell r="H653" t="str">
            <v>egyptian fc x2 dk stel</v>
          </cell>
          <cell r="I653" t="str">
            <v>EGY MS 30x30 FC x2 dk stel</v>
          </cell>
        </row>
        <row r="654">
          <cell r="G654">
            <v>60099577</v>
          </cell>
          <cell r="H654" t="str">
            <v>egyptian fc x2 linen</v>
          </cell>
          <cell r="I654" t="str">
            <v>EGY MS 30x30 FC x2 linen</v>
          </cell>
        </row>
        <row r="655">
          <cell r="G655">
            <v>60099578</v>
          </cell>
          <cell r="H655" t="str">
            <v>egyptian fc x2 stone</v>
          </cell>
          <cell r="I655" t="str">
            <v>EGY MS 30x30 FC x2 stone</v>
          </cell>
        </row>
        <row r="656">
          <cell r="G656">
            <v>60099595</v>
          </cell>
          <cell r="H656" t="str">
            <v>egyptian fc x2 pale pink</v>
          </cell>
          <cell r="I656" t="str">
            <v>EGY MS 30x30 FC x2 pale pink</v>
          </cell>
        </row>
        <row r="657">
          <cell r="G657">
            <v>60099590</v>
          </cell>
          <cell r="H657" t="str">
            <v>egyptian fc x2 claret</v>
          </cell>
          <cell r="I657" t="str">
            <v>EGY MS 30x30 FC x2 claret</v>
          </cell>
        </row>
        <row r="658">
          <cell r="G658">
            <v>60099581</v>
          </cell>
          <cell r="H658" t="str">
            <v>egyptian fc x2 white</v>
          </cell>
          <cell r="I658" t="str">
            <v>EGY MS 30x30 FC x2 white</v>
          </cell>
        </row>
        <row r="659">
          <cell r="G659">
            <v>60099597</v>
          </cell>
          <cell r="H659" t="str">
            <v>egyptian fc x2 silv grey</v>
          </cell>
          <cell r="I659" t="str">
            <v>EGY MS 30x30 FC x2 silv grey</v>
          </cell>
        </row>
        <row r="660">
          <cell r="G660">
            <v>60099591</v>
          </cell>
          <cell r="H660" t="str">
            <v>egyptian fc x2 dk evgren</v>
          </cell>
          <cell r="I660" t="str">
            <v>EGY MS 30x30 FC x2 dk evgren</v>
          </cell>
        </row>
        <row r="661">
          <cell r="G661">
            <v>60099593</v>
          </cell>
          <cell r="H661" t="str">
            <v>egyptian fc x2 grey dove</v>
          </cell>
          <cell r="I661" t="str">
            <v>EGY MS 30x30 FC x2 grey dove</v>
          </cell>
        </row>
        <row r="662">
          <cell r="G662">
            <v>60099579</v>
          </cell>
          <cell r="H662" t="str">
            <v>egyptian fc x2 cream</v>
          </cell>
          <cell r="I662" t="str">
            <v>EGY MS 30x30 FC x2 cream</v>
          </cell>
        </row>
        <row r="663">
          <cell r="G663">
            <v>60099549</v>
          </cell>
          <cell r="H663" t="str">
            <v>Egyptian Dark Blue FC X 2</v>
          </cell>
          <cell r="I663" t="str">
            <v>EGY MS 30x30 FC Dark Blue  FC X 2</v>
          </cell>
        </row>
        <row r="664">
          <cell r="G664">
            <v>60099589</v>
          </cell>
          <cell r="H664" t="str">
            <v>Egyptian Dusty Green FC X 2</v>
          </cell>
          <cell r="I664" t="str">
            <v>EGY MS 30x30 FC Dusty Green  FC X 2</v>
          </cell>
        </row>
        <row r="665">
          <cell r="G665">
            <v>60099585</v>
          </cell>
          <cell r="H665" t="str">
            <v>EGY FC S/2, Dessert Sand</v>
          </cell>
          <cell r="I665" t="str">
            <v>EGY MS 30X30 FC S/2, Dessert Sand</v>
          </cell>
        </row>
        <row r="666">
          <cell r="G666">
            <v>60092779</v>
          </cell>
          <cell r="H666" t="str">
            <v>EGY HT, Dessert Sand</v>
          </cell>
          <cell r="I666" t="str">
            <v>EGY HT 90x50, Dessert Sand</v>
          </cell>
        </row>
        <row r="667">
          <cell r="G667">
            <v>60092977</v>
          </cell>
          <cell r="H667" t="str">
            <v>EGY BS, Dessert Sand</v>
          </cell>
          <cell r="I667" t="str">
            <v>EGY BS 160x90, Dessert Sand</v>
          </cell>
        </row>
        <row r="668">
          <cell r="G668">
            <v>60099584</v>
          </cell>
          <cell r="H668" t="str">
            <v>EGY FC S/2, Raw Sienna</v>
          </cell>
          <cell r="I668" t="str">
            <v>EGY MS 30X30  FC S/2, Raw Sienna</v>
          </cell>
        </row>
        <row r="669">
          <cell r="G669">
            <v>60092780</v>
          </cell>
          <cell r="H669" t="str">
            <v>EGY HT, Raw Sienna</v>
          </cell>
          <cell r="I669" t="str">
            <v>EGY HT 90x50, Raw Sienna</v>
          </cell>
        </row>
        <row r="670">
          <cell r="G670">
            <v>60092979</v>
          </cell>
          <cell r="H670" t="str">
            <v>EGY BS, Raw Sienna</v>
          </cell>
          <cell r="I670" t="str">
            <v>EGY BS 160x90, Raw Sienna</v>
          </cell>
        </row>
        <row r="671">
          <cell r="G671">
            <v>60099583</v>
          </cell>
          <cell r="H671" t="str">
            <v>EGY FC S/2, Harvest Gold</v>
          </cell>
          <cell r="I671" t="str">
            <v>EGY MS 30X30 FC S/2, Harvest Gold</v>
          </cell>
        </row>
        <row r="672">
          <cell r="G672">
            <v>60092781</v>
          </cell>
          <cell r="H672" t="str">
            <v>EGY HT, Harvest Gold</v>
          </cell>
          <cell r="I672" t="str">
            <v>EGY HT 90x50, Harvest Gold</v>
          </cell>
        </row>
        <row r="673">
          <cell r="G673">
            <v>60092980</v>
          </cell>
          <cell r="H673" t="str">
            <v>EGY BS, Harvest Gold</v>
          </cell>
          <cell r="I673" t="str">
            <v>EGY BS 160x90, Harvest Gold</v>
          </cell>
        </row>
        <row r="674">
          <cell r="G674">
            <v>60099580</v>
          </cell>
          <cell r="H674" t="str">
            <v>EGY FC S/2, Jadeite</v>
          </cell>
          <cell r="I674" t="str">
            <v>EGY MS 30X30 FC S/2, Jadeite</v>
          </cell>
        </row>
        <row r="675">
          <cell r="G675">
            <v>60092703</v>
          </cell>
          <cell r="H675" t="str">
            <v>EGY HT, Jadeite</v>
          </cell>
          <cell r="I675" t="str">
            <v>EGY HT 90x50, Jadeite</v>
          </cell>
        </row>
        <row r="676">
          <cell r="G676">
            <v>60092981</v>
          </cell>
          <cell r="H676" t="str">
            <v>EGY BS, Jadeite</v>
          </cell>
          <cell r="I676" t="str">
            <v>EGY BS 160x90, Jadeite</v>
          </cell>
        </row>
        <row r="677">
          <cell r="G677">
            <v>60092782</v>
          </cell>
          <cell r="H677" t="str">
            <v>egyptian ht Duck Egg</v>
          </cell>
          <cell r="I677" t="str">
            <v>EGY MS HT 90x50 Duck Egg</v>
          </cell>
        </row>
        <row r="678">
          <cell r="G678">
            <v>60092982</v>
          </cell>
          <cell r="H678" t="str">
            <v>egyptian bs Duck Egg</v>
          </cell>
          <cell r="I678" t="str">
            <v>EGY MS BS 160x90 Duck Egg</v>
          </cell>
        </row>
        <row r="679">
          <cell r="G679">
            <v>60099582</v>
          </cell>
          <cell r="H679" t="str">
            <v>egyptian fc x2 Duck Egg</v>
          </cell>
          <cell r="I679" t="str">
            <v>EGY MS 30x30 FC x2 Duck Egg</v>
          </cell>
        </row>
        <row r="680">
          <cell r="G680">
            <v>600865</v>
          </cell>
          <cell r="H680" t="str">
            <v>UH MS 30x30 FCx2 new grey</v>
          </cell>
          <cell r="I680" t="str">
            <v>UH MS 30x30 FCx2 new grey</v>
          </cell>
        </row>
        <row r="681">
          <cell r="G681">
            <v>600867</v>
          </cell>
          <cell r="H681" t="str">
            <v>UH MS HT 90x50 new grey</v>
          </cell>
          <cell r="I681" t="str">
            <v>UH MS HT 90x50 new grey</v>
          </cell>
        </row>
        <row r="682">
          <cell r="G682">
            <v>600868</v>
          </cell>
          <cell r="H682" t="str">
            <v>UH MS BT 135x70 new grey</v>
          </cell>
          <cell r="I682" t="str">
            <v>UH MS BT 135x70 new grey</v>
          </cell>
        </row>
        <row r="683">
          <cell r="G683">
            <v>600869</v>
          </cell>
          <cell r="H683" t="str">
            <v>UH MS BS 160x90 new grey</v>
          </cell>
          <cell r="I683" t="str">
            <v>UH MS BS 160x90 new grey</v>
          </cell>
        </row>
        <row r="684">
          <cell r="G684">
            <v>600870</v>
          </cell>
          <cell r="H684" t="str">
            <v>UH MS XL BS 180x100 new grey</v>
          </cell>
          <cell r="I684" t="str">
            <v>UH MS XL BS 180x100 new grey</v>
          </cell>
        </row>
        <row r="685">
          <cell r="G685">
            <v>60087045</v>
          </cell>
          <cell r="H685" t="str">
            <v/>
          </cell>
          <cell r="I685" t="str">
            <v>Ultimate Hotel xl bs Pale Pink</v>
          </cell>
        </row>
        <row r="686">
          <cell r="G686">
            <v>60087005</v>
          </cell>
          <cell r="H686" t="str">
            <v>UH MS XLBS 180x100 p</v>
          </cell>
          <cell r="I686" t="str">
            <v>UH MS XLBS 180x100 Pale Pink</v>
          </cell>
        </row>
      </sheetData>
      <sheetData sheetId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gyptian"/>
      <sheetName val="Egy Bale"/>
      <sheetName val="Kitchen Twl"/>
      <sheetName val="Ktcn Stripe"/>
      <sheetName val="Ktcn Waffle"/>
      <sheetName val="Prof Ktcn twl"/>
      <sheetName val="Sheet2"/>
      <sheetName val="Suvin"/>
      <sheetName val="Suvin Bale"/>
      <sheetName val="Light Cotton"/>
      <sheetName val="Color Defence Bale"/>
      <sheetName val="SB Egy Hygro"/>
      <sheetName val="Sheet1"/>
      <sheetName val="Rugs"/>
    </sheetNames>
    <sheetDataSet>
      <sheetData sheetId="0">
        <row r="3">
          <cell r="D3" t="str">
            <v>TFAC613EX1P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3">
          <cell r="C3">
            <v>60086639</v>
          </cell>
          <cell r="D3" t="str">
            <v>TFAG517ZH0P</v>
          </cell>
          <cell r="G3">
            <v>907476</v>
          </cell>
          <cell r="H3" t="str">
            <v>FVTPL0250</v>
          </cell>
        </row>
        <row r="4">
          <cell r="C4">
            <v>60086739</v>
          </cell>
          <cell r="D4" t="str">
            <v>TFAG517ZH1P</v>
          </cell>
          <cell r="G4">
            <v>907478</v>
          </cell>
          <cell r="H4" t="str">
            <v>FVTPL0250</v>
          </cell>
        </row>
        <row r="5">
          <cell r="C5">
            <v>60086939</v>
          </cell>
          <cell r="D5" t="str">
            <v>TFAG517ZS0P</v>
          </cell>
          <cell r="G5">
            <v>907480</v>
          </cell>
          <cell r="H5" t="str">
            <v>FVTPL0250</v>
          </cell>
        </row>
        <row r="6">
          <cell r="C6">
            <v>60086839</v>
          </cell>
          <cell r="D6" t="str">
            <v>TFAG517ZB0P</v>
          </cell>
          <cell r="G6">
            <v>907475</v>
          </cell>
          <cell r="H6" t="str">
            <v>FVTPL0250</v>
          </cell>
        </row>
        <row r="7">
          <cell r="C7">
            <v>60086614</v>
          </cell>
          <cell r="D7" t="str">
            <v>TFAG517ZH0P</v>
          </cell>
          <cell r="G7">
            <v>907476</v>
          </cell>
          <cell r="H7" t="str">
            <v>FVTBM0406</v>
          </cell>
        </row>
        <row r="8">
          <cell r="C8">
            <v>60086715</v>
          </cell>
          <cell r="D8" t="str">
            <v>TFAG517ZH1P</v>
          </cell>
          <cell r="G8">
            <v>907478</v>
          </cell>
          <cell r="H8" t="str">
            <v>FVTBM0406</v>
          </cell>
        </row>
        <row r="9">
          <cell r="C9">
            <v>60086917</v>
          </cell>
          <cell r="D9" t="str">
            <v>TFAG517ZS0P</v>
          </cell>
          <cell r="G9">
            <v>907480</v>
          </cell>
          <cell r="H9" t="str">
            <v>FVTBM0406</v>
          </cell>
        </row>
        <row r="10">
          <cell r="C10">
            <v>60086816</v>
          </cell>
          <cell r="D10" t="str">
            <v>TFAG517ZB0P</v>
          </cell>
          <cell r="G10">
            <v>907475</v>
          </cell>
          <cell r="H10" t="str">
            <v>FVTBM0406</v>
          </cell>
        </row>
        <row r="11">
          <cell r="C11">
            <v>60086646</v>
          </cell>
          <cell r="D11" t="str">
            <v>TFAG517ZH0P</v>
          </cell>
          <cell r="G11">
            <v>907476</v>
          </cell>
          <cell r="H11" t="str">
            <v>FVTSD0434</v>
          </cell>
        </row>
        <row r="12">
          <cell r="C12">
            <v>60086746</v>
          </cell>
          <cell r="D12" t="str">
            <v>TFAG517ZH1P</v>
          </cell>
          <cell r="G12">
            <v>907478</v>
          </cell>
          <cell r="H12" t="str">
            <v>FVTSD0434</v>
          </cell>
        </row>
        <row r="13">
          <cell r="C13">
            <v>60086946</v>
          </cell>
          <cell r="D13" t="str">
            <v>TFAG517ZS0P</v>
          </cell>
          <cell r="G13">
            <v>907480</v>
          </cell>
          <cell r="H13" t="str">
            <v>FVTSD0434</v>
          </cell>
        </row>
        <row r="14">
          <cell r="C14">
            <v>60087002</v>
          </cell>
          <cell r="D14" t="str">
            <v>TFAG517ZL0P</v>
          </cell>
          <cell r="G14">
            <v>907479</v>
          </cell>
          <cell r="H14" t="str">
            <v>FVTSD0434</v>
          </cell>
        </row>
        <row r="15">
          <cell r="C15">
            <v>60086846</v>
          </cell>
          <cell r="D15" t="str">
            <v>TFAG517ZB0P</v>
          </cell>
          <cell r="G15">
            <v>907475</v>
          </cell>
          <cell r="H15" t="str">
            <v>FVTSD0434</v>
          </cell>
        </row>
        <row r="16">
          <cell r="C16">
            <v>60086645</v>
          </cell>
          <cell r="D16" t="str">
            <v>TFAG517ZH0P</v>
          </cell>
          <cell r="G16">
            <v>907476</v>
          </cell>
          <cell r="H16" t="str">
            <v>FVTSM0546</v>
          </cell>
        </row>
        <row r="17">
          <cell r="C17">
            <v>60086745</v>
          </cell>
          <cell r="D17" t="str">
            <v>TFAG517ZH1P</v>
          </cell>
          <cell r="G17">
            <v>907478</v>
          </cell>
          <cell r="H17" t="str">
            <v>FVTSM0546</v>
          </cell>
        </row>
        <row r="18">
          <cell r="C18">
            <v>60086845</v>
          </cell>
          <cell r="D18" t="str">
            <v>TFAG517ZB0P</v>
          </cell>
          <cell r="G18">
            <v>907475</v>
          </cell>
          <cell r="H18" t="str">
            <v>FVTSM0546</v>
          </cell>
        </row>
        <row r="19">
          <cell r="C19">
            <v>60086945</v>
          </cell>
          <cell r="D19" t="str">
            <v>TFAG517ZS0P</v>
          </cell>
          <cell r="G19">
            <v>907480</v>
          </cell>
          <cell r="H19" t="str">
            <v>FVTSM0546</v>
          </cell>
        </row>
        <row r="21">
          <cell r="C21">
            <v>60087045</v>
          </cell>
          <cell r="D21" t="str">
            <v>TFAG517ZL0P</v>
          </cell>
          <cell r="G21">
            <v>907479</v>
          </cell>
          <cell r="H21" t="str">
            <v>FVTSM0546</v>
          </cell>
        </row>
        <row r="22">
          <cell r="C22">
            <v>60086644</v>
          </cell>
          <cell r="D22" t="str">
            <v>TFAG517ZH0P</v>
          </cell>
          <cell r="G22">
            <v>907476</v>
          </cell>
          <cell r="H22" t="str">
            <v>FVTBP0354</v>
          </cell>
        </row>
        <row r="23">
          <cell r="C23">
            <v>60086744</v>
          </cell>
          <cell r="D23" t="str">
            <v>TFAG517ZH1P</v>
          </cell>
          <cell r="G23">
            <v>907478</v>
          </cell>
          <cell r="H23" t="str">
            <v>FVTBP0354</v>
          </cell>
        </row>
        <row r="24">
          <cell r="C24">
            <v>60086844</v>
          </cell>
          <cell r="D24" t="str">
            <v>TFAG517ZB0P</v>
          </cell>
          <cell r="G24">
            <v>907475</v>
          </cell>
          <cell r="H24" t="str">
            <v>FVTBP0354</v>
          </cell>
        </row>
        <row r="25">
          <cell r="C25">
            <v>60086944</v>
          </cell>
          <cell r="D25" t="str">
            <v>TFAG517ZS0P</v>
          </cell>
          <cell r="G25">
            <v>907480</v>
          </cell>
          <cell r="H25" t="str">
            <v>FVTBP0354</v>
          </cell>
        </row>
        <row r="26">
          <cell r="C26">
            <v>60086605</v>
          </cell>
          <cell r="D26" t="str">
            <v>TFAG517ZH0P</v>
          </cell>
          <cell r="G26">
            <v>907476</v>
          </cell>
          <cell r="H26" t="str">
            <v>FVTKL0790</v>
          </cell>
        </row>
        <row r="27">
          <cell r="C27">
            <v>60086706</v>
          </cell>
          <cell r="D27" t="str">
            <v>TFAG517ZH1P</v>
          </cell>
          <cell r="G27">
            <v>907478</v>
          </cell>
          <cell r="H27" t="str">
            <v>FVTKL0790</v>
          </cell>
        </row>
        <row r="28">
          <cell r="C28">
            <v>60086908</v>
          </cell>
          <cell r="D28" t="str">
            <v>TFAG517ZS0P</v>
          </cell>
          <cell r="G28">
            <v>907480</v>
          </cell>
          <cell r="H28" t="str">
            <v>FVTKL0790</v>
          </cell>
        </row>
        <row r="29">
          <cell r="C29">
            <v>60087004</v>
          </cell>
          <cell r="D29" t="str">
            <v>TFAG517ZL0P</v>
          </cell>
          <cell r="G29">
            <v>907479</v>
          </cell>
          <cell r="H29" t="str">
            <v>FVTKL0790</v>
          </cell>
        </row>
        <row r="30">
          <cell r="C30">
            <v>60086807</v>
          </cell>
          <cell r="D30" t="str">
            <v>TFAG517ZB0P</v>
          </cell>
          <cell r="G30">
            <v>907475</v>
          </cell>
          <cell r="H30" t="str">
            <v>FVTKL0790</v>
          </cell>
        </row>
        <row r="31">
          <cell r="C31">
            <v>60086604</v>
          </cell>
          <cell r="D31" t="str">
            <v>TFAG517ZH0P</v>
          </cell>
          <cell r="G31">
            <v>907476</v>
          </cell>
          <cell r="H31" t="str">
            <v>FVTKP0389</v>
          </cell>
        </row>
        <row r="32">
          <cell r="C32">
            <v>60086704</v>
          </cell>
          <cell r="D32" t="str">
            <v>TFAG517ZH1P</v>
          </cell>
          <cell r="G32">
            <v>907478</v>
          </cell>
          <cell r="H32" t="str">
            <v>FVTKP0389</v>
          </cell>
        </row>
        <row r="33">
          <cell r="C33">
            <v>60086804</v>
          </cell>
          <cell r="D33" t="str">
            <v>TFAG517ZB0P</v>
          </cell>
          <cell r="G33">
            <v>907475</v>
          </cell>
          <cell r="H33" t="str">
            <v>FVTKP0389</v>
          </cell>
        </row>
        <row r="34">
          <cell r="C34">
            <v>60086904</v>
          </cell>
          <cell r="D34" t="str">
            <v>TFAG517ZS0P</v>
          </cell>
          <cell r="G34">
            <v>907480</v>
          </cell>
          <cell r="H34" t="str">
            <v>FVTKP0389</v>
          </cell>
        </row>
        <row r="35">
          <cell r="C35">
            <v>60086634</v>
          </cell>
          <cell r="D35" t="str">
            <v>TFAG517ZH0P</v>
          </cell>
          <cell r="G35">
            <v>907476</v>
          </cell>
          <cell r="H35" t="str">
            <v>FVTNE0080</v>
          </cell>
        </row>
        <row r="36">
          <cell r="C36">
            <v>60086734</v>
          </cell>
          <cell r="D36" t="str">
            <v>TFAG517ZH1P</v>
          </cell>
          <cell r="G36">
            <v>907478</v>
          </cell>
          <cell r="H36" t="str">
            <v>FVTNE0080</v>
          </cell>
        </row>
        <row r="37">
          <cell r="C37">
            <v>60086934</v>
          </cell>
          <cell r="D37" t="str">
            <v>TFAG517ZS0P</v>
          </cell>
          <cell r="G37">
            <v>907480</v>
          </cell>
          <cell r="H37" t="str">
            <v>FVTNE0080</v>
          </cell>
        </row>
        <row r="38">
          <cell r="C38">
            <v>60086834</v>
          </cell>
          <cell r="D38" t="str">
            <v>TFAG517ZB0P</v>
          </cell>
          <cell r="G38">
            <v>907475</v>
          </cell>
          <cell r="H38" t="str">
            <v>FVTNE0080</v>
          </cell>
        </row>
        <row r="39">
          <cell r="C39">
            <v>60087034</v>
          </cell>
          <cell r="D39" t="str">
            <v>TFAG517ZL0P</v>
          </cell>
          <cell r="G39">
            <v>907479</v>
          </cell>
          <cell r="H39" t="str">
            <v>FVTNE0080</v>
          </cell>
        </row>
        <row r="40">
          <cell r="C40">
            <v>60086806</v>
          </cell>
          <cell r="D40" t="str">
            <v>TFAG517ZB0P</v>
          </cell>
          <cell r="G40">
            <v>907475</v>
          </cell>
          <cell r="H40" t="str">
            <v>FVTYM0359</v>
          </cell>
        </row>
        <row r="41">
          <cell r="C41">
            <v>60086607</v>
          </cell>
          <cell r="D41" t="str">
            <v>TFAG517ZH0P</v>
          </cell>
          <cell r="G41">
            <v>907476</v>
          </cell>
          <cell r="H41" t="str">
            <v>FVTYM0359</v>
          </cell>
        </row>
        <row r="42">
          <cell r="C42">
            <v>60086707</v>
          </cell>
          <cell r="D42" t="str">
            <v>TFAG517ZH1P</v>
          </cell>
          <cell r="G42">
            <v>907478</v>
          </cell>
          <cell r="H42" t="str">
            <v>FVTYM0359</v>
          </cell>
        </row>
        <row r="43">
          <cell r="D43" t="str">
            <v>TFAG517ZL0P</v>
          </cell>
          <cell r="G43">
            <v>907479</v>
          </cell>
          <cell r="H43" t="str">
            <v>FVTYM0359</v>
          </cell>
        </row>
        <row r="44">
          <cell r="C44">
            <v>60086906</v>
          </cell>
          <cell r="D44" t="str">
            <v>TFAG517ZS0P</v>
          </cell>
          <cell r="G44">
            <v>907480</v>
          </cell>
          <cell r="H44" t="str">
            <v>FVTYM0359</v>
          </cell>
        </row>
        <row r="46">
          <cell r="C46">
            <v>60086602</v>
          </cell>
          <cell r="D46" t="str">
            <v>TFAG517ZH0P</v>
          </cell>
          <cell r="G46">
            <v>907476</v>
          </cell>
          <cell r="H46" t="str">
            <v>FVTGL0654</v>
          </cell>
        </row>
        <row r="47">
          <cell r="C47">
            <v>60086702</v>
          </cell>
          <cell r="D47" t="str">
            <v>TFAG517ZH1P</v>
          </cell>
          <cell r="G47">
            <v>907478</v>
          </cell>
          <cell r="H47" t="str">
            <v>FVTGL0654</v>
          </cell>
        </row>
        <row r="48">
          <cell r="C48">
            <v>60086802</v>
          </cell>
          <cell r="D48" t="str">
            <v>TFAG517ZB0P</v>
          </cell>
          <cell r="G48">
            <v>907475</v>
          </cell>
          <cell r="H48" t="str">
            <v>FVTGL0654</v>
          </cell>
        </row>
        <row r="49">
          <cell r="C49">
            <v>60086902</v>
          </cell>
          <cell r="D49" t="str">
            <v>TFAG517ZS0P</v>
          </cell>
          <cell r="G49">
            <v>907480</v>
          </cell>
          <cell r="H49" t="str">
            <v>FVTGL0654</v>
          </cell>
        </row>
        <row r="50">
          <cell r="C50">
            <v>60086735</v>
          </cell>
          <cell r="D50" t="str">
            <v>TFAG517ZH1P</v>
          </cell>
          <cell r="G50">
            <v>907478</v>
          </cell>
          <cell r="H50" t="str">
            <v>FVTYP0487</v>
          </cell>
        </row>
        <row r="51">
          <cell r="C51">
            <v>60086935</v>
          </cell>
          <cell r="D51" t="str">
            <v>TFAG517ZS0P</v>
          </cell>
          <cell r="G51">
            <v>907480</v>
          </cell>
          <cell r="H51" t="str">
            <v>FVTYP0487</v>
          </cell>
        </row>
        <row r="52">
          <cell r="C52">
            <v>60087003</v>
          </cell>
          <cell r="D52" t="str">
            <v>TFAG517ZL0P</v>
          </cell>
          <cell r="G52">
            <v>907479</v>
          </cell>
          <cell r="H52" t="str">
            <v>FVTYP0487</v>
          </cell>
        </row>
        <row r="53">
          <cell r="C53">
            <v>60086635</v>
          </cell>
          <cell r="D53" t="str">
            <v>TFAG517ZH0P</v>
          </cell>
          <cell r="G53">
            <v>907476</v>
          </cell>
          <cell r="H53" t="str">
            <v>FVTYP0487</v>
          </cell>
        </row>
        <row r="54">
          <cell r="C54">
            <v>60086835</v>
          </cell>
          <cell r="D54" t="str">
            <v>TFAG517ZB0P</v>
          </cell>
          <cell r="G54">
            <v>907475</v>
          </cell>
          <cell r="H54" t="str">
            <v>FVTYP0487</v>
          </cell>
        </row>
        <row r="55">
          <cell r="C55">
            <v>60086808</v>
          </cell>
          <cell r="D55" t="str">
            <v>TFAG517ZB0P</v>
          </cell>
          <cell r="G55">
            <v>907475</v>
          </cell>
          <cell r="H55" t="str">
            <v>FVTBL0620</v>
          </cell>
        </row>
        <row r="56">
          <cell r="C56">
            <v>60086608</v>
          </cell>
          <cell r="D56" t="str">
            <v>TFAG517ZH0P</v>
          </cell>
          <cell r="G56">
            <v>907476</v>
          </cell>
          <cell r="H56" t="str">
            <v>FVTBL0620</v>
          </cell>
        </row>
        <row r="57">
          <cell r="C57">
            <v>60086708</v>
          </cell>
          <cell r="D57" t="str">
            <v>TFAG517ZH1P</v>
          </cell>
          <cell r="G57">
            <v>907478</v>
          </cell>
          <cell r="H57" t="str">
            <v>FVTBL0620</v>
          </cell>
        </row>
        <row r="58">
          <cell r="D58" t="str">
            <v>TFAG517ZL0P</v>
          </cell>
          <cell r="G58">
            <v>907479</v>
          </cell>
          <cell r="H58" t="str">
            <v>FVTBL0620</v>
          </cell>
        </row>
        <row r="59">
          <cell r="C59">
            <v>60086907</v>
          </cell>
          <cell r="D59" t="str">
            <v>TFAG517ZS0P</v>
          </cell>
          <cell r="G59">
            <v>907480</v>
          </cell>
          <cell r="H59" t="str">
            <v>FVTBL0620</v>
          </cell>
        </row>
        <row r="60">
          <cell r="D60" t="str">
            <v>TFAG517ZW0P</v>
          </cell>
          <cell r="H60" t="str">
            <v>FVTBL0620</v>
          </cell>
        </row>
        <row r="61">
          <cell r="C61">
            <v>60086601</v>
          </cell>
          <cell r="D61" t="str">
            <v>TFAG517ZH0P</v>
          </cell>
          <cell r="G61">
            <v>907476</v>
          </cell>
          <cell r="H61" t="str">
            <v>FVTBP0395</v>
          </cell>
        </row>
        <row r="62">
          <cell r="C62">
            <v>60086701</v>
          </cell>
          <cell r="D62" t="str">
            <v>TFAG517ZH1P</v>
          </cell>
          <cell r="G62">
            <v>907478</v>
          </cell>
          <cell r="H62" t="str">
            <v>FVTBP0395</v>
          </cell>
        </row>
        <row r="63">
          <cell r="C63">
            <v>60086801</v>
          </cell>
          <cell r="D63" t="str">
            <v>TFAG517ZB0P</v>
          </cell>
          <cell r="G63">
            <v>907475</v>
          </cell>
          <cell r="H63" t="str">
            <v>FVTBP0395</v>
          </cell>
        </row>
        <row r="64">
          <cell r="C64">
            <v>60086901</v>
          </cell>
          <cell r="D64" t="str">
            <v>TFAG517ZS0P</v>
          </cell>
          <cell r="G64">
            <v>907480</v>
          </cell>
          <cell r="H64" t="str">
            <v>FVTBP0395</v>
          </cell>
        </row>
        <row r="65">
          <cell r="D65" t="str">
            <v>TFAG517ZL0P</v>
          </cell>
          <cell r="G65">
            <v>907479</v>
          </cell>
          <cell r="H65" t="str">
            <v>FVTRP0514</v>
          </cell>
        </row>
        <row r="66">
          <cell r="C66">
            <v>60086603</v>
          </cell>
          <cell r="D66" t="str">
            <v>TFAG517ZH0P</v>
          </cell>
          <cell r="G66">
            <v>907476</v>
          </cell>
          <cell r="H66" t="str">
            <v>FVTRP0514</v>
          </cell>
        </row>
        <row r="67">
          <cell r="C67">
            <v>60086703</v>
          </cell>
          <cell r="D67" t="str">
            <v>TFAG517ZH1P</v>
          </cell>
          <cell r="G67">
            <v>907478</v>
          </cell>
          <cell r="H67" t="str">
            <v>FVTRP0514</v>
          </cell>
        </row>
        <row r="68">
          <cell r="C68">
            <v>60086803</v>
          </cell>
          <cell r="D68" t="str">
            <v>TFAG517ZB0P</v>
          </cell>
          <cell r="G68">
            <v>907475</v>
          </cell>
          <cell r="H68" t="str">
            <v>FVTRP0514</v>
          </cell>
        </row>
        <row r="69">
          <cell r="C69">
            <v>60086903</v>
          </cell>
          <cell r="D69" t="str">
            <v>TFAG517ZS0P</v>
          </cell>
          <cell r="G69">
            <v>907480</v>
          </cell>
          <cell r="H69" t="str">
            <v>FVTRP0514</v>
          </cell>
        </row>
        <row r="70">
          <cell r="C70">
            <v>60086631</v>
          </cell>
          <cell r="D70" t="str">
            <v>TFAG517ZH0P</v>
          </cell>
          <cell r="G70">
            <v>907476</v>
          </cell>
          <cell r="H70" t="str">
            <v>FVTSL0183</v>
          </cell>
        </row>
        <row r="71">
          <cell r="C71">
            <v>60086731</v>
          </cell>
          <cell r="D71" t="str">
            <v>TFAG517ZH1P</v>
          </cell>
          <cell r="G71">
            <v>907478</v>
          </cell>
          <cell r="H71" t="str">
            <v>FVTSL0183</v>
          </cell>
        </row>
        <row r="72">
          <cell r="C72">
            <v>60086831</v>
          </cell>
          <cell r="D72" t="str">
            <v>TFAG517ZB0P</v>
          </cell>
          <cell r="G72">
            <v>907475</v>
          </cell>
          <cell r="H72" t="str">
            <v>FVTSL0183</v>
          </cell>
        </row>
        <row r="73">
          <cell r="C73">
            <v>60086931</v>
          </cell>
          <cell r="D73" t="str">
            <v>TFAG517ZS0P</v>
          </cell>
          <cell r="G73">
            <v>907480</v>
          </cell>
          <cell r="H73" t="str">
            <v>FVTSL0183</v>
          </cell>
        </row>
        <row r="74">
          <cell r="C74">
            <v>60021407</v>
          </cell>
          <cell r="D74" t="str">
            <v>TFAC813ZM0P</v>
          </cell>
          <cell r="H74" t="str">
            <v>FVTSL0183</v>
          </cell>
        </row>
        <row r="75">
          <cell r="C75">
            <v>60086531</v>
          </cell>
          <cell r="D75" t="str">
            <v>TFAG517ZW0P</v>
          </cell>
          <cell r="H75" t="str">
            <v>FVTSL0183</v>
          </cell>
        </row>
        <row r="76">
          <cell r="C76">
            <v>60087031</v>
          </cell>
          <cell r="D76" t="str">
            <v>TFAG517ZL0P</v>
          </cell>
          <cell r="G76">
            <v>907479</v>
          </cell>
          <cell r="H76" t="str">
            <v>FVTSL0183</v>
          </cell>
        </row>
        <row r="77">
          <cell r="C77">
            <v>60086805</v>
          </cell>
          <cell r="D77" t="str">
            <v>TFAG517ZB0P</v>
          </cell>
          <cell r="G77">
            <v>907475</v>
          </cell>
          <cell r="H77" t="str">
            <v>FVTPL0465</v>
          </cell>
        </row>
        <row r="78">
          <cell r="C78">
            <v>60086606</v>
          </cell>
          <cell r="D78" t="str">
            <v>TFAG517ZH0P</v>
          </cell>
          <cell r="G78">
            <v>907476</v>
          </cell>
          <cell r="H78" t="str">
            <v>FVTPL0465</v>
          </cell>
        </row>
        <row r="79">
          <cell r="C79">
            <v>60086705</v>
          </cell>
          <cell r="D79" t="str">
            <v>TFAG517ZH1P</v>
          </cell>
          <cell r="G79">
            <v>907478</v>
          </cell>
          <cell r="H79" t="str">
            <v>FVTPL0465</v>
          </cell>
        </row>
        <row r="80">
          <cell r="D80" t="str">
            <v>TFAG517ZL0P</v>
          </cell>
          <cell r="G80">
            <v>907479</v>
          </cell>
          <cell r="H80" t="str">
            <v>FVTPL0465</v>
          </cell>
        </row>
        <row r="81">
          <cell r="C81">
            <v>60086905</v>
          </cell>
          <cell r="D81" t="str">
            <v>TFAG517ZS0P</v>
          </cell>
          <cell r="G81">
            <v>907480</v>
          </cell>
          <cell r="H81" t="str">
            <v>FVTPL0465</v>
          </cell>
        </row>
        <row r="82">
          <cell r="C82">
            <v>60087105</v>
          </cell>
          <cell r="D82" t="str">
            <v>TFAG517ZW0P</v>
          </cell>
          <cell r="H82" t="str">
            <v>FVTPL0465</v>
          </cell>
        </row>
        <row r="83">
          <cell r="C83">
            <v>60086643</v>
          </cell>
          <cell r="D83" t="str">
            <v>TFAG517ZH0P</v>
          </cell>
          <cell r="G83">
            <v>907476</v>
          </cell>
          <cell r="H83" t="str">
            <v>FVTTE0144</v>
          </cell>
        </row>
        <row r="84">
          <cell r="C84">
            <v>60086743</v>
          </cell>
          <cell r="D84" t="str">
            <v>TFAG517ZH1P</v>
          </cell>
          <cell r="G84">
            <v>907478</v>
          </cell>
          <cell r="H84" t="str">
            <v>FVTTE0144</v>
          </cell>
        </row>
        <row r="85">
          <cell r="C85">
            <v>60086843</v>
          </cell>
          <cell r="D85" t="str">
            <v>TFAG517ZB0P</v>
          </cell>
          <cell r="G85">
            <v>907475</v>
          </cell>
          <cell r="H85" t="str">
            <v>FVTTE0144</v>
          </cell>
        </row>
        <row r="86">
          <cell r="C86">
            <v>60086943</v>
          </cell>
          <cell r="D86" t="str">
            <v>TFAG517ZS0P</v>
          </cell>
          <cell r="G86">
            <v>907480</v>
          </cell>
          <cell r="H86" t="str">
            <v>FVTTE0144</v>
          </cell>
        </row>
        <row r="87">
          <cell r="C87">
            <v>60086630</v>
          </cell>
          <cell r="D87" t="str">
            <v>TFAG517ZH0P</v>
          </cell>
          <cell r="G87">
            <v>907476</v>
          </cell>
          <cell r="H87" t="str">
            <v>FVTWZ0004</v>
          </cell>
        </row>
        <row r="88">
          <cell r="C88">
            <v>60086930</v>
          </cell>
          <cell r="D88" t="str">
            <v>TFAG517ZS0P</v>
          </cell>
          <cell r="G88">
            <v>907480</v>
          </cell>
          <cell r="H88" t="str">
            <v>FVTWZ0004</v>
          </cell>
        </row>
        <row r="89">
          <cell r="C89">
            <v>60086830</v>
          </cell>
          <cell r="D89" t="str">
            <v>TFAG517ZB0P</v>
          </cell>
          <cell r="G89">
            <v>907475</v>
          </cell>
          <cell r="H89" t="str">
            <v>FVTWZ0004</v>
          </cell>
        </row>
        <row r="90">
          <cell r="C90">
            <v>60087030</v>
          </cell>
          <cell r="D90" t="str">
            <v>TFAG517ZL0P</v>
          </cell>
          <cell r="G90">
            <v>907479</v>
          </cell>
          <cell r="H90" t="str">
            <v>FVTWZ0004</v>
          </cell>
        </row>
        <row r="91">
          <cell r="C91">
            <v>60086730</v>
          </cell>
          <cell r="D91" t="str">
            <v>TFAG517ZH1P</v>
          </cell>
          <cell r="G91">
            <v>907478</v>
          </cell>
          <cell r="H91" t="str">
            <v>FVTWZ0004</v>
          </cell>
        </row>
        <row r="92">
          <cell r="C92">
            <v>60087102</v>
          </cell>
          <cell r="D92" t="str">
            <v>TFAG517ZX1P</v>
          </cell>
          <cell r="I92" t="str">
            <v>AG517SET26</v>
          </cell>
        </row>
        <row r="93">
          <cell r="C93">
            <v>60087104</v>
          </cell>
          <cell r="D93" t="str">
            <v>TFAG517ZX1P</v>
          </cell>
          <cell r="I93" t="str">
            <v>AG517SET27</v>
          </cell>
        </row>
        <row r="94">
          <cell r="C94">
            <v>60087101</v>
          </cell>
          <cell r="D94" t="str">
            <v>TFAG517ZX1P</v>
          </cell>
          <cell r="I94" t="str">
            <v>AG517SET28</v>
          </cell>
        </row>
        <row r="95">
          <cell r="C95">
            <v>60087103</v>
          </cell>
          <cell r="D95" t="str">
            <v>TFAG517ZX1P</v>
          </cell>
          <cell r="I95" t="str">
            <v>AG517SET29</v>
          </cell>
        </row>
        <row r="96">
          <cell r="C96">
            <v>60087117</v>
          </cell>
          <cell r="D96" t="str">
            <v>TFAG517ZX1P</v>
          </cell>
          <cell r="I96" t="str">
            <v>AG517SET09</v>
          </cell>
        </row>
        <row r="97">
          <cell r="C97">
            <v>60087127</v>
          </cell>
          <cell r="D97" t="str">
            <v>TFAG517ZX1P</v>
          </cell>
          <cell r="I97" t="str">
            <v>AG517SET11</v>
          </cell>
        </row>
        <row r="98">
          <cell r="C98">
            <v>60087131</v>
          </cell>
          <cell r="D98" t="str">
            <v>TFAG517ZX1P</v>
          </cell>
          <cell r="I98" t="str">
            <v>AG517SET12</v>
          </cell>
        </row>
        <row r="99">
          <cell r="C99">
            <v>60087120</v>
          </cell>
          <cell r="D99" t="str">
            <v>TFAG517ZX1P</v>
          </cell>
          <cell r="I99" t="str">
            <v>AG517SET13</v>
          </cell>
        </row>
        <row r="100">
          <cell r="C100">
            <v>60087128</v>
          </cell>
          <cell r="D100" t="str">
            <v>TFAG517ZX1P</v>
          </cell>
          <cell r="I100" t="str">
            <v>AG517SET14</v>
          </cell>
        </row>
        <row r="101">
          <cell r="C101">
            <v>60087133</v>
          </cell>
          <cell r="D101" t="str">
            <v>TFAG517ZX1P</v>
          </cell>
          <cell r="I101" t="str">
            <v>AG517SET19</v>
          </cell>
        </row>
        <row r="102">
          <cell r="C102">
            <v>60087126</v>
          </cell>
          <cell r="D102" t="str">
            <v>TFAG517ZX1P</v>
          </cell>
          <cell r="I102" t="str">
            <v>AG517SET22</v>
          </cell>
        </row>
        <row r="103">
          <cell r="C103">
            <v>60087121</v>
          </cell>
          <cell r="D103" t="str">
            <v>TFAG517ZX1P</v>
          </cell>
          <cell r="I103" t="str">
            <v>AG517SET23</v>
          </cell>
        </row>
        <row r="104">
          <cell r="C104">
            <v>60087118</v>
          </cell>
          <cell r="D104" t="str">
            <v>TFAG517ZX1P</v>
          </cell>
          <cell r="I104" t="str">
            <v>AG517SET25</v>
          </cell>
        </row>
        <row r="105">
          <cell r="C105">
            <v>60087107</v>
          </cell>
          <cell r="D105" t="str">
            <v>TFAG517ZX1P</v>
          </cell>
          <cell r="I105" t="str">
            <v>AG517SET30</v>
          </cell>
        </row>
        <row r="106">
          <cell r="C106">
            <v>60087125</v>
          </cell>
          <cell r="D106" t="str">
            <v>TFAG517ZX1P</v>
          </cell>
          <cell r="I106" t="str">
            <v>AG517SET20</v>
          </cell>
        </row>
        <row r="107">
          <cell r="C107">
            <v>60087124</v>
          </cell>
          <cell r="D107" t="str">
            <v>TFAG517ZX1P</v>
          </cell>
          <cell r="I107" t="str">
            <v>AG517SET15</v>
          </cell>
        </row>
        <row r="108">
          <cell r="C108">
            <v>60086941</v>
          </cell>
          <cell r="D108" t="str">
            <v>TFAG517ZB0P</v>
          </cell>
          <cell r="G108">
            <v>696675</v>
          </cell>
          <cell r="H108" t="str">
            <v>FVTGE0122</v>
          </cell>
        </row>
        <row r="109">
          <cell r="C109">
            <v>60086947</v>
          </cell>
          <cell r="D109" t="str">
            <v>TFAG517ZS0P</v>
          </cell>
          <cell r="G109">
            <v>696678</v>
          </cell>
          <cell r="H109" t="str">
            <v>FVTGE0122</v>
          </cell>
        </row>
        <row r="110">
          <cell r="C110">
            <v>60086948</v>
          </cell>
          <cell r="D110" t="str">
            <v>TFAG517ZX0P</v>
          </cell>
          <cell r="G110">
            <v>696702</v>
          </cell>
          <cell r="H110" t="str">
            <v>FVTSD0666</v>
          </cell>
          <cell r="I110" t="str">
            <v>AG517SET06</v>
          </cell>
        </row>
        <row r="111">
          <cell r="C111">
            <v>60086932</v>
          </cell>
          <cell r="D111" t="str">
            <v>TFAG517ZS0P</v>
          </cell>
          <cell r="G111">
            <v>696678</v>
          </cell>
          <cell r="H111" t="str">
            <v>FVTSD0666</v>
          </cell>
        </row>
        <row r="112">
          <cell r="C112">
            <v>60086929</v>
          </cell>
          <cell r="D112" t="str">
            <v>TFAG517ZB0P</v>
          </cell>
          <cell r="G112">
            <v>696675</v>
          </cell>
          <cell r="H112" t="str">
            <v>FVTSD0666</v>
          </cell>
        </row>
        <row r="113">
          <cell r="C113">
            <v>60086928</v>
          </cell>
          <cell r="D113" t="str">
            <v>TFAG517ZH1P</v>
          </cell>
          <cell r="G113">
            <v>900377</v>
          </cell>
          <cell r="H113" t="str">
            <v>FVTSD0666</v>
          </cell>
        </row>
        <row r="114">
          <cell r="C114">
            <v>60086928</v>
          </cell>
          <cell r="D114" t="str">
            <v>TFAG517ZH1P</v>
          </cell>
          <cell r="G114">
            <v>900377</v>
          </cell>
          <cell r="H114" t="str">
            <v>FVTSD0666</v>
          </cell>
        </row>
        <row r="115">
          <cell r="C115">
            <v>60086941</v>
          </cell>
          <cell r="D115" t="str">
            <v>TFAG517ZB0P</v>
          </cell>
          <cell r="G115">
            <v>696675</v>
          </cell>
          <cell r="H115" t="str">
            <v>FVTGE0122</v>
          </cell>
        </row>
        <row r="116">
          <cell r="C116">
            <v>60086932</v>
          </cell>
          <cell r="D116" t="str">
            <v>TFAG517ZS0P</v>
          </cell>
          <cell r="G116">
            <v>696678</v>
          </cell>
          <cell r="H116" t="str">
            <v>FVTSD0666</v>
          </cell>
        </row>
        <row r="117">
          <cell r="C117">
            <v>60086936</v>
          </cell>
          <cell r="D117" t="str">
            <v>TFAG517ZX0P</v>
          </cell>
          <cell r="G117">
            <v>696702</v>
          </cell>
          <cell r="H117" t="str">
            <v>FVTOM0355</v>
          </cell>
          <cell r="I117" t="str">
            <v>AG517SET07</v>
          </cell>
        </row>
        <row r="118">
          <cell r="C118">
            <v>60086947</v>
          </cell>
          <cell r="D118" t="str">
            <v>TFAG517ZS0P</v>
          </cell>
          <cell r="G118">
            <v>696678</v>
          </cell>
          <cell r="H118" t="str">
            <v>FVTGE0122</v>
          </cell>
        </row>
        <row r="119">
          <cell r="C119">
            <v>60086937</v>
          </cell>
          <cell r="D119" t="str">
            <v>TFAG517ZX0P</v>
          </cell>
          <cell r="G119">
            <v>696702</v>
          </cell>
          <cell r="H119" t="str">
            <v>FVTYM0480</v>
          </cell>
          <cell r="I119" t="str">
            <v>AG517SET04</v>
          </cell>
        </row>
        <row r="120">
          <cell r="C120">
            <v>60086920</v>
          </cell>
          <cell r="D120" t="str">
            <v>TFAG517ZB0P</v>
          </cell>
          <cell r="G120">
            <v>696675</v>
          </cell>
          <cell r="H120" t="str">
            <v>FVTOM0355</v>
          </cell>
        </row>
        <row r="121">
          <cell r="C121">
            <v>60086911</v>
          </cell>
          <cell r="D121" t="str">
            <v>TFAG517ZB0P</v>
          </cell>
          <cell r="G121">
            <v>696675</v>
          </cell>
          <cell r="H121" t="str">
            <v>FVTRM0501</v>
          </cell>
        </row>
        <row r="122">
          <cell r="C122">
            <v>60086915</v>
          </cell>
          <cell r="D122" t="str">
            <v>TFAG517ZB0P</v>
          </cell>
          <cell r="G122">
            <v>696675</v>
          </cell>
          <cell r="H122" t="str">
            <v>FVTYM0480</v>
          </cell>
        </row>
        <row r="123">
          <cell r="C123">
            <v>60086925</v>
          </cell>
          <cell r="D123" t="str">
            <v>TFAG517ZB0P</v>
          </cell>
          <cell r="G123">
            <v>696675</v>
          </cell>
          <cell r="H123" t="str">
            <v>FVTGL0856</v>
          </cell>
        </row>
        <row r="124">
          <cell r="C124">
            <v>60086938</v>
          </cell>
          <cell r="D124" t="str">
            <v>TFAG517ZX0P</v>
          </cell>
          <cell r="G124">
            <v>696702</v>
          </cell>
          <cell r="H124" t="str">
            <v>FVTGE0122</v>
          </cell>
          <cell r="I124" t="str">
            <v>AG517SET05</v>
          </cell>
        </row>
        <row r="125">
          <cell r="C125">
            <v>60086933</v>
          </cell>
          <cell r="D125" t="str">
            <v>TFAG517ZX0P</v>
          </cell>
          <cell r="G125">
            <v>696702</v>
          </cell>
          <cell r="H125" t="str">
            <v>FVTRM0501</v>
          </cell>
          <cell r="I125" t="str">
            <v>AG517SET08</v>
          </cell>
        </row>
        <row r="126">
          <cell r="C126">
            <v>60086922</v>
          </cell>
          <cell r="D126" t="str">
            <v>TFAG517ZX0P</v>
          </cell>
          <cell r="G126">
            <v>696702</v>
          </cell>
          <cell r="H126" t="str">
            <v>FVTGL0856</v>
          </cell>
          <cell r="I126" t="str">
            <v>AG517SET09</v>
          </cell>
        </row>
        <row r="127">
          <cell r="C127">
            <v>63026090</v>
          </cell>
          <cell r="D127" t="str">
            <v>TFAG517ZX1P</v>
          </cell>
          <cell r="G127">
            <v>696702</v>
          </cell>
          <cell r="H127" t="str">
            <v>FVTKL0790</v>
          </cell>
          <cell r="I127" t="str">
            <v>AG517SET11</v>
          </cell>
        </row>
        <row r="128">
          <cell r="C128">
            <v>60086940</v>
          </cell>
          <cell r="D128" t="str">
            <v>TFAG517ZH0P</v>
          </cell>
          <cell r="G128">
            <v>696672</v>
          </cell>
          <cell r="H128" t="str">
            <v>FVTGE0122</v>
          </cell>
        </row>
        <row r="129">
          <cell r="C129">
            <v>60086918</v>
          </cell>
          <cell r="D129" t="str">
            <v>TFAG517ZH0P</v>
          </cell>
          <cell r="G129">
            <v>696672</v>
          </cell>
          <cell r="H129" t="str">
            <v>FVTOM0355</v>
          </cell>
        </row>
        <row r="130">
          <cell r="C130">
            <v>60086927</v>
          </cell>
          <cell r="D130" t="str">
            <v>TFAG517ZH0P</v>
          </cell>
          <cell r="G130">
            <v>696672</v>
          </cell>
          <cell r="H130" t="str">
            <v>FVTSD0666</v>
          </cell>
        </row>
        <row r="131">
          <cell r="C131">
            <v>60086909</v>
          </cell>
          <cell r="D131" t="str">
            <v>TFAG517ZH0P</v>
          </cell>
          <cell r="G131">
            <v>696672</v>
          </cell>
          <cell r="H131" t="str">
            <v>FVTRM0501</v>
          </cell>
        </row>
        <row r="132">
          <cell r="C132">
            <v>60086913</v>
          </cell>
          <cell r="D132" t="str">
            <v>TFAG517ZH0P</v>
          </cell>
          <cell r="G132">
            <v>696672</v>
          </cell>
          <cell r="H132" t="str">
            <v>FVTYM0480</v>
          </cell>
        </row>
        <row r="133">
          <cell r="C133">
            <v>60086923</v>
          </cell>
          <cell r="D133" t="str">
            <v>TFAG517ZH0P</v>
          </cell>
          <cell r="G133">
            <v>696672</v>
          </cell>
          <cell r="H133" t="str">
            <v>FVTGL0856</v>
          </cell>
        </row>
        <row r="134">
          <cell r="C134">
            <v>60086942</v>
          </cell>
          <cell r="D134" t="str">
            <v>TFAG517ZH1P</v>
          </cell>
          <cell r="G134">
            <v>900377</v>
          </cell>
          <cell r="H134" t="str">
            <v>FVTGE0122</v>
          </cell>
        </row>
        <row r="135">
          <cell r="C135">
            <v>60086919</v>
          </cell>
          <cell r="D135" t="str">
            <v>TFAG517ZH1P</v>
          </cell>
          <cell r="G135">
            <v>900377</v>
          </cell>
          <cell r="H135" t="str">
            <v>FVTOM0355</v>
          </cell>
        </row>
        <row r="136">
          <cell r="C136">
            <v>60086910</v>
          </cell>
          <cell r="D136" t="str">
            <v>TFAG517ZH1P</v>
          </cell>
          <cell r="G136">
            <v>900377</v>
          </cell>
          <cell r="H136" t="str">
            <v>FVTRM0501</v>
          </cell>
        </row>
        <row r="137">
          <cell r="C137">
            <v>60086914</v>
          </cell>
          <cell r="D137" t="str">
            <v>TFAG517ZH1P</v>
          </cell>
          <cell r="G137">
            <v>900377</v>
          </cell>
          <cell r="H137" t="str">
            <v>FVTYM0480</v>
          </cell>
        </row>
        <row r="138">
          <cell r="C138">
            <v>60086924</v>
          </cell>
          <cell r="D138" t="str">
            <v>TFAG517ZH1P</v>
          </cell>
          <cell r="G138">
            <v>900377</v>
          </cell>
          <cell r="H138" t="str">
            <v>FVTGL0856</v>
          </cell>
        </row>
        <row r="139">
          <cell r="C139">
            <v>60086921</v>
          </cell>
          <cell r="D139" t="str">
            <v>TFAG517ZS0P</v>
          </cell>
          <cell r="G139">
            <v>696678</v>
          </cell>
          <cell r="H139" t="str">
            <v>FVTOM0355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P7"/>
  <sheetViews>
    <sheetView tabSelected="1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8" sqref="A8"/>
    </sheetView>
  </sheetViews>
  <sheetFormatPr defaultColWidth="8.6640625" defaultRowHeight="14.4"/>
  <cols>
    <col min="1" max="1" width="24" style="139" customWidth="1"/>
    <col min="2" max="2" width="21.5546875" style="139" customWidth="1"/>
    <col min="3" max="3" width="28.6640625" style="139" bestFit="1" customWidth="1"/>
    <col min="4" max="4" width="18.44140625" style="139" bestFit="1" customWidth="1"/>
    <col min="5" max="5" width="20.44140625" style="139" bestFit="1" customWidth="1"/>
    <col min="6" max="6" width="10.88671875" style="139" customWidth="1"/>
    <col min="7" max="7" width="15.109375" style="139" customWidth="1"/>
    <col min="8" max="8" width="18.88671875" style="139" customWidth="1"/>
    <col min="9" max="9" width="15.5546875" style="139" customWidth="1"/>
    <col min="10" max="10" width="19.88671875" style="139" customWidth="1"/>
    <col min="11" max="11" width="20.5546875" style="139" bestFit="1" customWidth="1"/>
    <col min="12" max="12" width="20.88671875" style="139" customWidth="1"/>
    <col min="13" max="13" width="22.88671875" style="139" bestFit="1" customWidth="1"/>
    <col min="14" max="14" width="14.44140625" style="139" customWidth="1"/>
    <col min="15" max="15" width="20.33203125" style="139" customWidth="1"/>
    <col min="16" max="16" width="16.88671875" style="139" customWidth="1"/>
    <col min="17" max="17" width="11.33203125" style="139" customWidth="1"/>
    <col min="18" max="18" width="17" style="139" customWidth="1"/>
    <col min="19" max="19" width="27.33203125" style="139" bestFit="1" customWidth="1"/>
    <col min="20" max="20" width="19.109375" style="139" bestFit="1" customWidth="1"/>
    <col min="21" max="21" width="11.109375" style="139" bestFit="1" customWidth="1"/>
    <col min="22" max="22" width="21.109375" style="139" bestFit="1" customWidth="1"/>
    <col min="23" max="23" width="17.44140625" style="139" customWidth="1"/>
    <col min="24" max="24" width="23.44140625" style="139" bestFit="1" customWidth="1"/>
    <col min="25" max="25" width="28.44140625" style="139" bestFit="1" customWidth="1"/>
    <col min="26" max="26" width="14.44140625" style="139" bestFit="1" customWidth="1"/>
    <col min="27" max="28" width="22" style="139" bestFit="1" customWidth="1"/>
    <col min="29" max="29" width="15.88671875" style="139" bestFit="1" customWidth="1"/>
    <col min="30" max="30" width="25" style="139" bestFit="1" customWidth="1"/>
    <col min="31" max="31" width="14.88671875" style="139" bestFit="1" customWidth="1"/>
    <col min="32" max="32" width="19.6640625" style="139" bestFit="1" customWidth="1"/>
    <col min="33" max="33" width="20.44140625" style="139" bestFit="1" customWidth="1"/>
    <col min="34" max="34" width="17.6640625" style="139" customWidth="1"/>
    <col min="35" max="35" width="39" style="140" bestFit="1" customWidth="1"/>
    <col min="36" max="36" width="26" style="139" bestFit="1" customWidth="1"/>
    <col min="37" max="37" width="52.88671875" style="1" bestFit="1" customWidth="1"/>
    <col min="38" max="38" width="25.33203125" style="1" bestFit="1" customWidth="1"/>
    <col min="39" max="39" width="9.88671875" style="1" bestFit="1" customWidth="1"/>
    <col min="40" max="40" width="27.6640625" style="1" customWidth="1"/>
    <col min="41" max="41" width="22.6640625" style="1" bestFit="1" customWidth="1"/>
    <col min="42" max="42" width="17.44140625" style="1" bestFit="1" customWidth="1"/>
    <col min="43" max="43" width="8.6640625" style="1" customWidth="1"/>
    <col min="44" max="16384" width="8.6640625" style="1"/>
  </cols>
  <sheetData>
    <row r="1" spans="1:42">
      <c r="A1" s="141" t="s">
        <v>0</v>
      </c>
      <c r="B1" s="141"/>
      <c r="C1" s="141"/>
      <c r="D1" s="141"/>
      <c r="E1" s="141"/>
      <c r="F1" s="141"/>
      <c r="G1" s="141"/>
      <c r="H1" s="141"/>
      <c r="I1" s="141"/>
      <c r="J1" s="141"/>
      <c r="K1" s="141"/>
      <c r="L1" s="141"/>
      <c r="M1" s="142"/>
      <c r="N1" s="142"/>
      <c r="O1" s="141"/>
      <c r="P1" s="141"/>
      <c r="Q1" s="141"/>
      <c r="R1" s="141"/>
      <c r="S1" s="141" t="s">
        <v>1</v>
      </c>
      <c r="T1" s="141"/>
      <c r="U1" s="141"/>
      <c r="V1" s="141"/>
      <c r="W1" s="141"/>
      <c r="X1" s="141"/>
      <c r="Y1" s="141"/>
      <c r="Z1" s="141"/>
      <c r="AA1" s="141"/>
      <c r="AB1" s="141"/>
      <c r="AC1" s="141"/>
      <c r="AD1" s="141"/>
      <c r="AE1" s="141"/>
      <c r="AF1" s="143"/>
      <c r="AG1" s="141"/>
      <c r="AH1" s="141"/>
      <c r="AI1" s="141"/>
      <c r="AJ1" s="141"/>
      <c r="AK1" s="144"/>
      <c r="AL1" s="144"/>
      <c r="AM1" s="144"/>
      <c r="AN1" s="144"/>
      <c r="AO1" s="144"/>
      <c r="AP1" s="144"/>
    </row>
    <row r="2" spans="1:42" ht="26.4" customHeight="1">
      <c r="A2" s="145" t="s">
        <v>2</v>
      </c>
      <c r="B2" s="146" t="s">
        <v>3</v>
      </c>
      <c r="C2" s="147" t="s">
        <v>4</v>
      </c>
      <c r="D2" s="147" t="s">
        <v>5</v>
      </c>
      <c r="E2" s="147" t="s">
        <v>6</v>
      </c>
      <c r="F2" s="146" t="s">
        <v>7</v>
      </c>
      <c r="G2" s="146" t="s">
        <v>8</v>
      </c>
      <c r="H2" s="146" t="s">
        <v>9</v>
      </c>
      <c r="I2" s="147" t="s">
        <v>10</v>
      </c>
      <c r="J2" s="145" t="s">
        <v>11</v>
      </c>
      <c r="K2" s="145" t="s">
        <v>12</v>
      </c>
      <c r="L2" s="147" t="s">
        <v>13</v>
      </c>
      <c r="M2" s="148" t="s">
        <v>14</v>
      </c>
      <c r="N2" s="148" t="s">
        <v>15</v>
      </c>
      <c r="O2" s="145" t="s">
        <v>16</v>
      </c>
      <c r="P2" s="147" t="s">
        <v>17</v>
      </c>
      <c r="Q2" s="147" t="s">
        <v>18</v>
      </c>
      <c r="R2" s="147" t="s">
        <v>19</v>
      </c>
      <c r="S2" s="145" t="s">
        <v>20</v>
      </c>
      <c r="T2" s="145" t="s">
        <v>21</v>
      </c>
      <c r="U2" s="146" t="s">
        <v>22</v>
      </c>
      <c r="V2" s="145" t="s">
        <v>23</v>
      </c>
      <c r="W2" s="145" t="s">
        <v>24</v>
      </c>
      <c r="X2" s="145" t="s">
        <v>25</v>
      </c>
      <c r="Y2" s="145" t="s">
        <v>26</v>
      </c>
      <c r="Z2" s="146" t="s">
        <v>27</v>
      </c>
      <c r="AA2" s="146" t="s">
        <v>28</v>
      </c>
      <c r="AB2" s="146" t="s">
        <v>29</v>
      </c>
      <c r="AC2" s="147" t="s">
        <v>30</v>
      </c>
      <c r="AD2" s="145" t="s">
        <v>31</v>
      </c>
      <c r="AE2" s="145" t="s">
        <v>32</v>
      </c>
      <c r="AF2" s="149" t="s">
        <v>33</v>
      </c>
      <c r="AG2" s="146" t="s">
        <v>34</v>
      </c>
      <c r="AH2" s="146" t="s">
        <v>35</v>
      </c>
      <c r="AI2" s="147" t="s">
        <v>36</v>
      </c>
      <c r="AJ2" s="147" t="s">
        <v>37</v>
      </c>
      <c r="AK2" s="150"/>
      <c r="AL2" s="144"/>
      <c r="AM2" s="144"/>
      <c r="AN2" s="144"/>
      <c r="AO2" s="178" t="s">
        <v>38</v>
      </c>
      <c r="AP2" s="179"/>
    </row>
    <row r="3" spans="1:42" ht="15" customHeight="1">
      <c r="A3" s="152" t="s">
        <v>39</v>
      </c>
      <c r="B3" s="152" t="s">
        <v>39</v>
      </c>
      <c r="C3" s="153">
        <v>102083</v>
      </c>
      <c r="D3" s="153">
        <v>100023</v>
      </c>
      <c r="E3" s="153" t="s">
        <v>40</v>
      </c>
      <c r="F3" s="151"/>
      <c r="G3" s="151"/>
      <c r="H3" s="151"/>
      <c r="I3" s="153">
        <v>100023</v>
      </c>
      <c r="J3" s="153" t="s">
        <v>41</v>
      </c>
      <c r="K3" s="153" t="s">
        <v>42</v>
      </c>
      <c r="L3" s="152" t="s">
        <v>43</v>
      </c>
      <c r="M3" s="154" t="s">
        <v>14</v>
      </c>
      <c r="N3" s="154" t="s">
        <v>15</v>
      </c>
      <c r="O3" s="153" t="e">
        <f>VLOOKUP(AE3,#REF!,2,0)</f>
        <v>#N/A</v>
      </c>
      <c r="P3" s="153" t="s">
        <v>44</v>
      </c>
      <c r="Q3" s="153" t="s">
        <v>45</v>
      </c>
      <c r="R3" s="153" t="s">
        <v>44</v>
      </c>
      <c r="S3" s="155" t="e">
        <f>VLOOKUP(AF3,'[1]Matcode List'!$C$2:$M$1071,3,0)</f>
        <v>#N/A</v>
      </c>
      <c r="T3" s="156"/>
      <c r="U3" s="152" t="e">
        <f>VLOOKUP(AF3,'[1]Matcode List'!$C$2:$M$1071,5,0)</f>
        <v>#N/A</v>
      </c>
      <c r="V3" s="152" t="e">
        <f>VLOOKUP(AF3,'[1]Matcode List'!$C$2:$M$1071,6,0)</f>
        <v>#N/A</v>
      </c>
      <c r="W3" s="152" t="e">
        <f>VLOOKUP(AF3,'[1]Matcode List'!$C$2:$M$1071,7,0)</f>
        <v>#N/A</v>
      </c>
      <c r="X3" s="152"/>
      <c r="Y3" s="152"/>
      <c r="Z3" s="152"/>
      <c r="AA3" s="152"/>
      <c r="AB3" s="152"/>
      <c r="AC3" s="157" t="s">
        <v>46</v>
      </c>
      <c r="AD3" s="152" t="e">
        <f>VLOOKUP(AF3,'[1]Matcode List'!C1:N1071,12,0)</f>
        <v>#N/A</v>
      </c>
      <c r="AE3" s="157" t="e">
        <f>VLOOKUP(AF3,'[1]Matcode List'!$C$2:$M$1071,10,0)</f>
        <v>#N/A</v>
      </c>
      <c r="AF3" s="158" t="s">
        <v>47</v>
      </c>
      <c r="AG3" s="152"/>
      <c r="AH3" s="152" t="e">
        <f>VLOOKUP(AF3,Sheet1!A:B,2,0)</f>
        <v>#N/A</v>
      </c>
      <c r="AI3" s="153" t="s">
        <v>624</v>
      </c>
      <c r="AJ3" s="177" t="s">
        <v>622</v>
      </c>
      <c r="AK3" s="144"/>
      <c r="AL3" s="144"/>
      <c r="AM3" s="144"/>
      <c r="AN3" s="144"/>
      <c r="AO3" s="151" t="s">
        <v>48</v>
      </c>
      <c r="AP3" s="151"/>
    </row>
    <row r="4" spans="1:42" ht="15" customHeight="1">
      <c r="A4" s="160" t="s">
        <v>39</v>
      </c>
      <c r="B4" s="153" t="s">
        <v>39</v>
      </c>
      <c r="C4" s="153">
        <v>102083</v>
      </c>
      <c r="D4" s="153">
        <v>102083</v>
      </c>
      <c r="E4" s="153" t="s">
        <v>40</v>
      </c>
      <c r="F4" s="151"/>
      <c r="G4" s="151"/>
      <c r="H4" s="151"/>
      <c r="I4" s="153">
        <v>100023</v>
      </c>
      <c r="J4" s="152" t="s">
        <v>49</v>
      </c>
      <c r="K4" s="152" t="s">
        <v>50</v>
      </c>
      <c r="L4" s="152" t="s">
        <v>43</v>
      </c>
      <c r="M4" s="161"/>
      <c r="N4" s="161"/>
      <c r="O4" s="153" t="s">
        <v>51</v>
      </c>
      <c r="P4" s="153" t="s">
        <v>44</v>
      </c>
      <c r="Q4" s="153" t="s">
        <v>45</v>
      </c>
      <c r="R4" s="153" t="s">
        <v>44</v>
      </c>
      <c r="S4" s="153"/>
      <c r="T4" s="160"/>
      <c r="U4" s="151"/>
      <c r="V4" s="162"/>
      <c r="W4" s="162"/>
      <c r="X4" s="153"/>
      <c r="Y4" s="151"/>
      <c r="Z4" s="162"/>
      <c r="AA4" s="151"/>
      <c r="AB4" s="153"/>
      <c r="AC4" s="153" t="s">
        <v>46</v>
      </c>
      <c r="AD4" s="151"/>
      <c r="AE4" s="153">
        <v>2100</v>
      </c>
      <c r="AF4" s="163"/>
      <c r="AG4" s="153"/>
      <c r="AH4" s="151"/>
      <c r="AI4" s="153" t="s">
        <v>624</v>
      </c>
      <c r="AJ4" s="159" t="s">
        <v>623</v>
      </c>
      <c r="AK4" s="151"/>
      <c r="AL4" s="151"/>
      <c r="AM4" s="164"/>
      <c r="AN4" s="165"/>
      <c r="AO4" s="166" t="s">
        <v>13</v>
      </c>
      <c r="AP4" s="167" t="s">
        <v>52</v>
      </c>
    </row>
    <row r="5" spans="1:42" ht="15" customHeight="1">
      <c r="A5" s="168"/>
      <c r="B5" s="169"/>
      <c r="C5" s="169"/>
      <c r="D5" s="169"/>
      <c r="E5" s="169"/>
      <c r="F5" s="169"/>
      <c r="G5" s="169"/>
      <c r="H5" s="169"/>
      <c r="I5" s="169"/>
      <c r="J5" s="169"/>
      <c r="K5" s="169"/>
      <c r="L5" s="169"/>
      <c r="M5" s="170"/>
      <c r="N5" s="170"/>
      <c r="O5" s="169"/>
      <c r="P5" s="169"/>
      <c r="Q5" s="169"/>
      <c r="R5" s="169"/>
      <c r="S5" s="169"/>
      <c r="T5" s="169"/>
      <c r="U5" s="169"/>
      <c r="V5" s="169"/>
      <c r="W5" s="169"/>
      <c r="X5" s="169"/>
      <c r="Y5" s="169"/>
      <c r="Z5" s="169"/>
      <c r="AA5" s="169"/>
      <c r="AB5" s="169"/>
      <c r="AC5" s="169"/>
      <c r="AD5" s="169"/>
      <c r="AE5" s="169"/>
      <c r="AF5" s="171"/>
      <c r="AG5" s="169"/>
      <c r="AH5" s="169"/>
      <c r="AI5" s="169"/>
      <c r="AJ5" s="169"/>
      <c r="AK5" s="172"/>
      <c r="AL5" s="172"/>
      <c r="AM5" s="172"/>
      <c r="AN5" s="172"/>
      <c r="AO5" s="166" t="s">
        <v>53</v>
      </c>
      <c r="AP5" s="167">
        <v>2200</v>
      </c>
    </row>
    <row r="6" spans="1:42" ht="15" customHeight="1">
      <c r="A6" s="173"/>
      <c r="B6" s="151"/>
      <c r="C6" s="153"/>
      <c r="D6" s="153"/>
      <c r="E6" s="153"/>
      <c r="F6" s="151"/>
      <c r="G6" s="151"/>
      <c r="H6" s="151"/>
      <c r="I6" s="153"/>
      <c r="J6" s="152"/>
      <c r="K6" s="152"/>
      <c r="L6" s="152"/>
      <c r="M6" s="161"/>
      <c r="N6" s="161"/>
      <c r="O6" s="153" t="s">
        <v>54</v>
      </c>
      <c r="P6" s="151"/>
      <c r="Q6" s="151"/>
      <c r="R6" s="151"/>
      <c r="S6" s="153"/>
      <c r="T6" s="174"/>
      <c r="U6" s="174"/>
      <c r="V6" s="153"/>
      <c r="W6" s="153"/>
      <c r="X6" s="151"/>
      <c r="Y6" s="151"/>
      <c r="Z6" s="162"/>
      <c r="AA6" s="162"/>
      <c r="AB6" s="162"/>
      <c r="AC6" s="153"/>
      <c r="AD6" s="151"/>
      <c r="AE6" s="153"/>
      <c r="AF6" s="163"/>
      <c r="AG6" s="153"/>
      <c r="AH6" s="151"/>
      <c r="AI6" s="153"/>
      <c r="AJ6" s="159"/>
      <c r="AK6" s="151"/>
      <c r="AL6" s="151"/>
      <c r="AM6" s="175"/>
      <c r="AN6" s="165"/>
      <c r="AO6" s="166" t="s">
        <v>55</v>
      </c>
      <c r="AP6" s="167">
        <v>10</v>
      </c>
    </row>
    <row r="7" spans="1:42" ht="15" customHeight="1">
      <c r="A7" s="173"/>
      <c r="B7" s="151"/>
      <c r="C7" s="153"/>
      <c r="D7" s="153"/>
      <c r="E7" s="153"/>
      <c r="F7" s="151"/>
      <c r="G7" s="151"/>
      <c r="H7" s="151"/>
      <c r="I7" s="153"/>
      <c r="J7" s="152"/>
      <c r="K7" s="152"/>
      <c r="L7" s="152"/>
      <c r="M7" s="161"/>
      <c r="N7" s="161"/>
      <c r="O7" s="153"/>
      <c r="P7" s="151"/>
      <c r="Q7" s="151"/>
      <c r="R7" s="151"/>
      <c r="S7" s="153"/>
      <c r="T7" s="174"/>
      <c r="U7" s="174"/>
      <c r="V7" s="153"/>
      <c r="W7" s="153"/>
      <c r="X7" s="151"/>
      <c r="Y7" s="151"/>
      <c r="Z7" s="162"/>
      <c r="AA7" s="162"/>
      <c r="AB7" s="162"/>
      <c r="AC7" s="153"/>
      <c r="AD7" s="176"/>
      <c r="AE7" s="153"/>
      <c r="AF7" s="163"/>
      <c r="AG7" s="153"/>
      <c r="AH7" s="151"/>
      <c r="AI7" s="153"/>
      <c r="AJ7" s="159"/>
      <c r="AK7" s="151"/>
      <c r="AL7" s="151"/>
      <c r="AM7" s="175"/>
      <c r="AN7" s="165"/>
      <c r="AO7" s="172"/>
      <c r="AP7" s="172"/>
    </row>
  </sheetData>
  <autoFilter ref="A2:AP2" xr:uid="{00000000-0009-0000-0000-000000000000}">
    <filterColumn colId="40" showButton="0"/>
  </autoFilter>
  <mergeCells count="1">
    <mergeCell ref="AO2:AP2"/>
  </mergeCells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N3"/>
  <sheetViews>
    <sheetView workbookViewId="0">
      <selection activeCell="G8" sqref="G8"/>
    </sheetView>
  </sheetViews>
  <sheetFormatPr defaultRowHeight="14.4"/>
  <cols>
    <col min="1" max="1" width="21.88671875" bestFit="1" customWidth="1"/>
    <col min="3" max="3" width="15.33203125" bestFit="1" customWidth="1"/>
    <col min="4" max="4" width="7.5546875" bestFit="1" customWidth="1"/>
    <col min="5" max="5" width="12.88671875" bestFit="1" customWidth="1"/>
    <col min="6" max="6" width="16.44140625" bestFit="1" customWidth="1"/>
    <col min="7" max="7" width="10.33203125" bestFit="1" customWidth="1"/>
    <col min="8" max="8" width="10.44140625" bestFit="1" customWidth="1"/>
    <col min="9" max="9" width="47.109375" bestFit="1" customWidth="1"/>
    <col min="10" max="10" width="23.6640625" bestFit="1" customWidth="1"/>
    <col min="11" max="11" width="10" bestFit="1" customWidth="1"/>
    <col min="12" max="12" width="5.33203125" bestFit="1" customWidth="1"/>
    <col min="13" max="13" width="34" bestFit="1" customWidth="1"/>
    <col min="14" max="14" width="8.5546875" bestFit="1" customWidth="1"/>
  </cols>
  <sheetData>
    <row r="1" spans="1:14" ht="15" customHeight="1" thickBot="1">
      <c r="A1" s="131" t="s">
        <v>56</v>
      </c>
      <c r="B1" s="132" t="s">
        <v>57</v>
      </c>
      <c r="C1" s="132" t="s">
        <v>58</v>
      </c>
      <c r="D1" s="132" t="s">
        <v>59</v>
      </c>
      <c r="E1" s="132" t="s">
        <v>60</v>
      </c>
      <c r="F1" s="132" t="s">
        <v>61</v>
      </c>
      <c r="G1" s="133" t="s">
        <v>62</v>
      </c>
      <c r="H1" s="133" t="s">
        <v>63</v>
      </c>
      <c r="I1" s="132" t="s">
        <v>64</v>
      </c>
      <c r="J1" s="132" t="s">
        <v>65</v>
      </c>
      <c r="K1" s="132" t="s">
        <v>66</v>
      </c>
      <c r="L1" s="132" t="s">
        <v>67</v>
      </c>
      <c r="M1" s="132" t="s">
        <v>68</v>
      </c>
      <c r="N1" s="132" t="s">
        <v>69</v>
      </c>
    </row>
    <row r="2" spans="1:14" ht="15" customHeight="1" thickBot="1">
      <c r="A2" s="134" t="s">
        <v>70</v>
      </c>
      <c r="B2" s="135" t="s">
        <v>71</v>
      </c>
      <c r="C2" s="135" t="s">
        <v>72</v>
      </c>
      <c r="D2" s="135" t="s">
        <v>73</v>
      </c>
      <c r="E2" s="135" t="s">
        <v>74</v>
      </c>
      <c r="F2" s="135" t="s">
        <v>75</v>
      </c>
      <c r="G2" s="136">
        <v>3296</v>
      </c>
      <c r="H2" s="137">
        <v>20000</v>
      </c>
      <c r="I2" s="135" t="s">
        <v>76</v>
      </c>
      <c r="J2" s="135" t="s">
        <v>77</v>
      </c>
      <c r="K2" s="135" t="s">
        <v>78</v>
      </c>
      <c r="L2" s="135" t="s">
        <v>75</v>
      </c>
      <c r="M2" s="135" t="s">
        <v>79</v>
      </c>
      <c r="N2" s="135" t="s">
        <v>80</v>
      </c>
    </row>
    <row r="3" spans="1:14" ht="15.6" customHeight="1">
      <c r="A3" s="13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L184"/>
  <sheetViews>
    <sheetView topLeftCell="A164" workbookViewId="0">
      <selection activeCell="I179" sqref="I179"/>
    </sheetView>
  </sheetViews>
  <sheetFormatPr defaultRowHeight="14.4"/>
  <cols>
    <col min="1" max="1" width="12.44140625" bestFit="1" customWidth="1"/>
    <col min="2" max="2" width="24.88671875" bestFit="1" customWidth="1"/>
    <col min="3" max="3" width="32" bestFit="1" customWidth="1"/>
    <col min="4" max="4" width="13.6640625" bestFit="1" customWidth="1"/>
    <col min="5" max="5" width="7.88671875" bestFit="1" customWidth="1"/>
    <col min="6" max="6" width="11.109375" bestFit="1" customWidth="1"/>
    <col min="7" max="7" width="16.44140625" bestFit="1" customWidth="1"/>
    <col min="8" max="8" width="28.33203125" bestFit="1" customWidth="1"/>
    <col min="9" max="9" width="10" bestFit="1" customWidth="1"/>
    <col min="11" max="11" width="43.6640625" bestFit="1" customWidth="1"/>
  </cols>
  <sheetData>
    <row r="1" spans="1:12">
      <c r="A1" t="s">
        <v>81</v>
      </c>
      <c r="B1" t="s">
        <v>82</v>
      </c>
      <c r="C1" t="s">
        <v>83</v>
      </c>
      <c r="D1" t="s">
        <v>84</v>
      </c>
      <c r="E1" t="s">
        <v>85</v>
      </c>
      <c r="F1" t="s">
        <v>86</v>
      </c>
    </row>
    <row r="2" spans="1:12">
      <c r="A2" s="107">
        <v>60086717</v>
      </c>
      <c r="B2" s="107" t="s">
        <v>87</v>
      </c>
      <c r="C2" s="107" t="str">
        <f>VLOOKUP(A2,'[2]Sheet1 (2)'!$G:$I,3,0)</f>
        <v>UH MS HT 90x50 Drk Steel</v>
      </c>
      <c r="D2" s="88" t="s">
        <v>88</v>
      </c>
      <c r="E2" s="88">
        <v>919236</v>
      </c>
      <c r="F2" s="88" t="s">
        <v>89</v>
      </c>
      <c r="G2" s="105"/>
      <c r="H2" s="105"/>
      <c r="I2" s="106"/>
      <c r="J2" s="106"/>
      <c r="K2" s="106"/>
    </row>
    <row r="3" spans="1:12">
      <c r="A3" s="107">
        <v>60086705</v>
      </c>
      <c r="B3" s="107" t="s">
        <v>90</v>
      </c>
      <c r="C3" s="107" t="str">
        <f>VLOOKUP(A3,'[2]Sheet1 (2)'!$G:$I,3,0)</f>
        <v>UH MS HT 90x50 pale pacific</v>
      </c>
      <c r="D3" s="88" t="s">
        <v>88</v>
      </c>
      <c r="E3" s="88">
        <v>919236</v>
      </c>
      <c r="F3" s="88" t="s">
        <v>91</v>
      </c>
      <c r="G3" s="99"/>
      <c r="H3" s="100"/>
      <c r="I3" s="99"/>
      <c r="J3" s="103"/>
      <c r="K3" s="2"/>
    </row>
    <row r="4" spans="1:12">
      <c r="A4" s="107">
        <v>60086707</v>
      </c>
      <c r="B4" s="107" t="s">
        <v>92</v>
      </c>
      <c r="C4" s="107" t="str">
        <f>VLOOKUP(A4,'[2]Sheet1 (2)'!$G:$I,3,0)</f>
        <v>UH MS HT 90x50 olive</v>
      </c>
      <c r="D4" s="88" t="s">
        <v>88</v>
      </c>
      <c r="E4" s="88">
        <v>919236</v>
      </c>
      <c r="F4" s="88" t="s">
        <v>93</v>
      </c>
      <c r="G4" s="99"/>
      <c r="H4" s="100"/>
      <c r="I4" s="99"/>
      <c r="J4" s="103"/>
      <c r="K4" s="2"/>
    </row>
    <row r="5" spans="1:12">
      <c r="A5" s="107">
        <v>60086709</v>
      </c>
      <c r="B5" s="107" t="s">
        <v>94</v>
      </c>
      <c r="C5" s="107" t="str">
        <f>VLOOKUP(A5,'[2]Sheet1 (2)'!$G:$I,3,0)</f>
        <v>UH MS HT 90x50 pale pink</v>
      </c>
      <c r="D5" s="88" t="s">
        <v>88</v>
      </c>
      <c r="E5" s="88">
        <v>919236</v>
      </c>
      <c r="F5" s="88" t="s">
        <v>95</v>
      </c>
      <c r="G5" s="99"/>
      <c r="H5" s="100"/>
      <c r="I5" s="99"/>
      <c r="J5" s="2"/>
      <c r="K5" s="2"/>
    </row>
    <row r="6" spans="1:12">
      <c r="A6" s="107">
        <v>60086711</v>
      </c>
      <c r="B6" s="107" t="s">
        <v>96</v>
      </c>
      <c r="C6" s="107" t="str">
        <f>VLOOKUP(A6,'[2]Sheet1 (2)'!$G:$I,3,0)</f>
        <v>UH MS  HT 90x50 latte</v>
      </c>
      <c r="D6" s="88" t="s">
        <v>88</v>
      </c>
      <c r="E6" s="88">
        <v>919236</v>
      </c>
      <c r="F6" s="88" t="s">
        <v>97</v>
      </c>
      <c r="G6" s="99"/>
      <c r="H6" s="100"/>
      <c r="I6" s="99"/>
      <c r="J6" s="2"/>
      <c r="K6" s="2"/>
    </row>
    <row r="7" spans="1:12">
      <c r="A7" s="107">
        <v>60086712</v>
      </c>
      <c r="B7" s="107" t="s">
        <v>98</v>
      </c>
      <c r="C7" s="107" t="str">
        <f>VLOOKUP(A7,'[2]Sheet1 (2)'!$G:$I,3,0)</f>
        <v>UH MS HT 90x50 Pacific</v>
      </c>
      <c r="D7" s="88" t="s">
        <v>88</v>
      </c>
      <c r="E7" s="88">
        <v>919236</v>
      </c>
      <c r="F7" s="88" t="s">
        <v>99</v>
      </c>
      <c r="G7" s="99"/>
      <c r="H7" s="100"/>
      <c r="I7" s="99"/>
      <c r="J7" s="2"/>
      <c r="K7" s="2"/>
    </row>
    <row r="8" spans="1:12">
      <c r="A8" s="107">
        <v>60086718</v>
      </c>
      <c r="B8" s="107" t="s">
        <v>100</v>
      </c>
      <c r="C8" s="107" t="str">
        <f>VLOOKUP(A8,'[2]Sheet1 (2)'!$G:$I,3,0)</f>
        <v>UH MS  HT 90x50 white</v>
      </c>
      <c r="D8" s="88" t="s">
        <v>88</v>
      </c>
      <c r="E8" s="88">
        <v>919236</v>
      </c>
      <c r="F8" s="88" t="s">
        <v>101</v>
      </c>
      <c r="G8" s="101"/>
      <c r="H8" s="102"/>
      <c r="I8" s="101"/>
      <c r="J8" s="104"/>
      <c r="K8" s="104"/>
    </row>
    <row r="9" spans="1:12">
      <c r="A9" s="107">
        <v>60086713</v>
      </c>
      <c r="B9" s="107" t="s">
        <v>102</v>
      </c>
      <c r="C9" s="107" t="str">
        <f>VLOOKUP(A9,'[2]Sheet1 (2)'!$G:$I,3,0)</f>
        <v>UH MS  HT 90x50 navy</v>
      </c>
      <c r="D9" s="88" t="s">
        <v>88</v>
      </c>
      <c r="E9" s="88">
        <v>919236</v>
      </c>
      <c r="F9" s="88" t="s">
        <v>103</v>
      </c>
      <c r="G9" s="99"/>
      <c r="H9" s="100"/>
      <c r="I9" s="99"/>
      <c r="J9" s="2"/>
      <c r="K9" s="2"/>
    </row>
    <row r="10" spans="1:12">
      <c r="A10" s="107">
        <v>60086719</v>
      </c>
      <c r="B10" s="107" t="s">
        <v>104</v>
      </c>
      <c r="C10" s="107" t="str">
        <f>VLOOKUP(A10,'[2]Sheet1 (2)'!$G:$I,3,0)</f>
        <v>UH MS  HT 90x50 oyster</v>
      </c>
      <c r="D10" s="88" t="s">
        <v>88</v>
      </c>
      <c r="E10" s="88">
        <v>919236</v>
      </c>
      <c r="F10" s="88" t="s">
        <v>105</v>
      </c>
      <c r="G10" s="99"/>
      <c r="H10" s="100"/>
      <c r="I10" s="99"/>
      <c r="J10" s="2"/>
      <c r="K10" s="2"/>
    </row>
    <row r="11" spans="1:12">
      <c r="A11" s="107">
        <v>60086714</v>
      </c>
      <c r="B11" s="107" t="s">
        <v>106</v>
      </c>
      <c r="C11" s="107" t="str">
        <f>VLOOKUP(A11,'[2]Sheet1 (2)'!$G:$I,3,0)</f>
        <v>UH MS  HT 90x50 clover</v>
      </c>
      <c r="D11" s="88" t="s">
        <v>88</v>
      </c>
      <c r="E11" s="88">
        <v>919236</v>
      </c>
      <c r="F11" s="88" t="s">
        <v>107</v>
      </c>
      <c r="G11" s="98"/>
    </row>
    <row r="12" spans="1:12">
      <c r="A12" s="107">
        <v>60086805</v>
      </c>
      <c r="B12" s="107" t="s">
        <v>108</v>
      </c>
      <c r="C12" s="107" t="str">
        <f>VLOOKUP(A12,'[2]Sheet1 (2)'!$G:$I,3,0)</f>
        <v>UH MS BT 135x70 pale pacific</v>
      </c>
      <c r="D12" s="88" t="s">
        <v>109</v>
      </c>
      <c r="E12" s="88">
        <v>919238</v>
      </c>
      <c r="G12" s="12"/>
    </row>
    <row r="13" spans="1:12">
      <c r="A13" s="107">
        <v>60086806</v>
      </c>
      <c r="B13" s="107" t="s">
        <v>110</v>
      </c>
      <c r="C13" s="107" t="str">
        <f>VLOOKUP(A13,'[2]Sheet1 (2)'!$G:$I,3,0)</f>
        <v>UH MS BT 135x70 olive</v>
      </c>
      <c r="D13" s="88" t="s">
        <v>109</v>
      </c>
      <c r="E13" s="88">
        <v>919238</v>
      </c>
      <c r="G13" s="12"/>
    </row>
    <row r="14" spans="1:12">
      <c r="A14" s="107">
        <v>60086809</v>
      </c>
      <c r="B14" s="107" t="s">
        <v>111</v>
      </c>
      <c r="C14" s="107" t="str">
        <f>VLOOKUP(A14,'[2]Sheet1 (2)'!$G:$I,3,0)</f>
        <v>UH MS BT 135x70 pale pink</v>
      </c>
      <c r="D14" s="88" t="s">
        <v>109</v>
      </c>
      <c r="E14" s="88">
        <v>919238</v>
      </c>
      <c r="G14" s="12"/>
    </row>
    <row r="15" spans="1:12">
      <c r="A15" s="107">
        <v>60086811</v>
      </c>
      <c r="B15" s="107" t="s">
        <v>112</v>
      </c>
      <c r="C15" s="107" t="str">
        <f>VLOOKUP(A15,'[2]Sheet1 (2)'!$G:$I,3,0)</f>
        <v>UH MS BT 135x70 latte</v>
      </c>
      <c r="D15" s="88" t="s">
        <v>109</v>
      </c>
      <c r="E15" s="88">
        <v>919238</v>
      </c>
      <c r="G15" s="12"/>
    </row>
    <row r="16" spans="1:12">
      <c r="A16" s="107">
        <v>60086812</v>
      </c>
      <c r="B16" s="107" t="s">
        <v>113</v>
      </c>
      <c r="C16" s="107" t="str">
        <f>VLOOKUP(A16,'[2]Sheet1 (2)'!$G:$I,3,0)</f>
        <v xml:space="preserve">UH MS BT 135x70 Pacific </v>
      </c>
      <c r="D16" s="88" t="s">
        <v>109</v>
      </c>
      <c r="E16" s="88">
        <v>919238</v>
      </c>
      <c r="G16" s="12"/>
      <c r="K16" s="97"/>
      <c r="L16" s="97"/>
    </row>
    <row r="17" spans="1:7">
      <c r="A17" s="107">
        <v>60086813</v>
      </c>
      <c r="B17" s="107" t="s">
        <v>114</v>
      </c>
      <c r="C17" s="107" t="str">
        <f>VLOOKUP(A17,'[2]Sheet1 (2)'!$G:$I,3,0)</f>
        <v>UH MS BT 135x70 white</v>
      </c>
      <c r="D17" s="88" t="s">
        <v>109</v>
      </c>
      <c r="E17" s="88">
        <v>919238</v>
      </c>
      <c r="G17" s="12"/>
    </row>
    <row r="18" spans="1:7">
      <c r="A18" s="107">
        <v>60086814</v>
      </c>
      <c r="B18" s="107" t="s">
        <v>115</v>
      </c>
      <c r="C18" s="107" t="str">
        <f>VLOOKUP(A18,'[2]Sheet1 (2)'!$G:$I,3,0)</f>
        <v>UH MS BT 135x70 navy</v>
      </c>
      <c r="D18" s="88" t="s">
        <v>109</v>
      </c>
      <c r="E18" s="88">
        <v>919238</v>
      </c>
      <c r="G18" s="12"/>
    </row>
    <row r="19" spans="1:7">
      <c r="A19" s="107">
        <v>60086815</v>
      </c>
      <c r="B19" s="107" t="s">
        <v>116</v>
      </c>
      <c r="C19" s="107" t="str">
        <f>VLOOKUP(A19,'[2]Sheet1 (2)'!$G:$I,3,0)</f>
        <v>UH MS BT 135x70 oyster</v>
      </c>
      <c r="D19" s="88" t="s">
        <v>109</v>
      </c>
      <c r="E19" s="88">
        <v>919238</v>
      </c>
      <c r="G19" s="12"/>
    </row>
    <row r="20" spans="1:7">
      <c r="A20" s="107">
        <v>60086905</v>
      </c>
      <c r="B20" s="107" t="s">
        <v>117</v>
      </c>
      <c r="C20" s="107" t="str">
        <f>VLOOKUP(A20,'[2]Sheet1 (2)'!$G:$I,3,0)</f>
        <v>UH MS BS 160x90 pale pacific</v>
      </c>
      <c r="D20" s="88" t="s">
        <v>118</v>
      </c>
      <c r="E20" s="88">
        <v>919235</v>
      </c>
      <c r="G20" s="12"/>
    </row>
    <row r="21" spans="1:7">
      <c r="A21" s="107">
        <v>60086906</v>
      </c>
      <c r="B21" s="107" t="s">
        <v>119</v>
      </c>
      <c r="C21" s="107" t="str">
        <f>VLOOKUP(A21,'[2]Sheet1 (2)'!$G:$I,3,0)</f>
        <v>UH MS BS 160x90 olive</v>
      </c>
      <c r="D21" s="88" t="s">
        <v>118</v>
      </c>
      <c r="E21" s="88">
        <v>919235</v>
      </c>
    </row>
    <row r="22" spans="1:7">
      <c r="A22" s="107">
        <v>60086949</v>
      </c>
      <c r="B22" s="107" t="s">
        <v>120</v>
      </c>
      <c r="C22" s="107" t="str">
        <f>VLOOKUP(A22,'[2]Sheet1 (2)'!$G:$I,3,0)</f>
        <v>UH MS BS 160x90 pale pink</v>
      </c>
      <c r="D22" s="88" t="s">
        <v>118</v>
      </c>
      <c r="E22" s="88">
        <v>919235</v>
      </c>
      <c r="G22" s="11"/>
    </row>
    <row r="23" spans="1:7">
      <c r="A23" s="107">
        <v>60086950</v>
      </c>
      <c r="B23" s="107" t="s">
        <v>121</v>
      </c>
      <c r="C23" s="107" t="str">
        <f>VLOOKUP(A23,'[2]Sheet1 (2)'!$G:$I,3,0)</f>
        <v>UH MS BS 160x90 Pacific</v>
      </c>
      <c r="D23" s="88" t="s">
        <v>118</v>
      </c>
      <c r="E23" s="88">
        <v>919235</v>
      </c>
      <c r="G23" s="12"/>
    </row>
    <row r="24" spans="1:7">
      <c r="A24" s="107">
        <v>60086952</v>
      </c>
      <c r="B24" s="107" t="s">
        <v>122</v>
      </c>
      <c r="C24" s="107" t="str">
        <f>VLOOKUP(A24,'[2]Sheet1 (2)'!$G:$I,3,0)</f>
        <v>UH MS BS 160x90 white</v>
      </c>
      <c r="D24" s="88" t="s">
        <v>118</v>
      </c>
      <c r="E24" s="88">
        <v>919235</v>
      </c>
      <c r="G24" s="12"/>
    </row>
    <row r="25" spans="1:7">
      <c r="A25" s="107">
        <v>60086953</v>
      </c>
      <c r="B25" s="107" t="s">
        <v>123</v>
      </c>
      <c r="C25" s="107" t="str">
        <f>VLOOKUP(A25,'[2]Sheet1 (2)'!$G:$I,3,0)</f>
        <v>UH MS BS 160x90 navy</v>
      </c>
      <c r="D25" s="88" t="s">
        <v>118</v>
      </c>
      <c r="E25" s="88">
        <v>919235</v>
      </c>
      <c r="G25" s="12"/>
    </row>
    <row r="26" spans="1:7">
      <c r="A26" s="107">
        <v>60086954</v>
      </c>
      <c r="B26" s="107" t="s">
        <v>124</v>
      </c>
      <c r="C26" s="107" t="str">
        <f>VLOOKUP(A26,'[2]Sheet1 (2)'!$G:$I,3,0)</f>
        <v>UH MS BS 160x90 oyster</v>
      </c>
      <c r="D26" s="88" t="s">
        <v>118</v>
      </c>
      <c r="E26" s="88">
        <v>919235</v>
      </c>
      <c r="G26" s="12"/>
    </row>
    <row r="27" spans="1:7">
      <c r="A27" s="107">
        <v>60086955</v>
      </c>
      <c r="B27" s="107" t="s">
        <v>125</v>
      </c>
      <c r="C27" s="107" t="str">
        <f>VLOOKUP(A27,'[2]Sheet1 (2)'!$G:$I,3,0)</f>
        <v>UH MS BS 160x90 clover</v>
      </c>
      <c r="D27" s="88" t="s">
        <v>118</v>
      </c>
      <c r="E27" s="88">
        <v>919235</v>
      </c>
      <c r="G27" s="12"/>
    </row>
    <row r="28" spans="1:7">
      <c r="A28" s="107">
        <v>60087004</v>
      </c>
      <c r="B28" s="107" t="s">
        <v>126</v>
      </c>
      <c r="C28" s="107" t="str">
        <f>VLOOKUP(A28,'[2]Sheet1 (2)'!$G:$I,3,0)</f>
        <v>UH MS XLBS 180x100 dove grey</v>
      </c>
      <c r="D28" s="88" t="s">
        <v>127</v>
      </c>
      <c r="E28" s="88">
        <v>919237</v>
      </c>
      <c r="G28" s="12"/>
    </row>
    <row r="29" spans="1:7">
      <c r="A29" s="107">
        <v>60086501</v>
      </c>
      <c r="B29" s="107" t="s">
        <v>128</v>
      </c>
      <c r="C29" s="107" t="str">
        <f>VLOOKUP(A29,'[2]Sheet1 (2)'!$G:$I,3,0)</f>
        <v>UH MS 30x30 FCx2 olive</v>
      </c>
      <c r="D29" s="88" t="s">
        <v>129</v>
      </c>
      <c r="E29" s="88">
        <v>919234</v>
      </c>
      <c r="G29" s="12"/>
    </row>
    <row r="30" spans="1:7">
      <c r="A30" s="107">
        <v>60086510</v>
      </c>
      <c r="B30" s="107" t="s">
        <v>130</v>
      </c>
      <c r="C30" s="107" t="str">
        <f>VLOOKUP(A30,'[2]Sheet1 (2)'!$G:$I,3,0)</f>
        <v>UH MS 30x30 FCx2 clover</v>
      </c>
      <c r="D30" s="88" t="s">
        <v>129</v>
      </c>
      <c r="E30" s="88">
        <v>919234</v>
      </c>
      <c r="G30" s="12"/>
    </row>
    <row r="31" spans="1:7">
      <c r="A31" s="107">
        <v>60086509</v>
      </c>
      <c r="B31" s="107" t="s">
        <v>131</v>
      </c>
      <c r="C31" s="107" t="str">
        <f>VLOOKUP(A31,'[2]Sheet1 (2)'!$G:$I,3,0)</f>
        <v>UH MS 30x30 FCx2 latte</v>
      </c>
      <c r="D31" s="88" t="s">
        <v>129</v>
      </c>
      <c r="E31" s="88">
        <v>919234</v>
      </c>
      <c r="G31" s="12"/>
    </row>
    <row r="32" spans="1:7">
      <c r="A32" s="107">
        <v>60086505</v>
      </c>
      <c r="B32" s="107" t="s">
        <v>132</v>
      </c>
      <c r="C32" s="107" t="str">
        <f>VLOOKUP(A32,'[2]Sheet1 (2)'!$G:$I,3,0)</f>
        <v>UH MS 30x30 FCx2 linen</v>
      </c>
      <c r="D32" s="88" t="s">
        <v>129</v>
      </c>
      <c r="E32" s="88">
        <v>919234</v>
      </c>
      <c r="G32" s="12"/>
    </row>
    <row r="33" spans="1:7">
      <c r="A33" s="107">
        <v>60086507</v>
      </c>
      <c r="B33" s="107" t="s">
        <v>133</v>
      </c>
      <c r="C33" s="107" t="str">
        <f>VLOOKUP(A33,'[2]Sheet1 (2)'!$G:$I,3,0)</f>
        <v>UH MS 30x30 FCx2 navy</v>
      </c>
      <c r="D33" s="88" t="s">
        <v>129</v>
      </c>
      <c r="E33" s="88">
        <v>919234</v>
      </c>
      <c r="G33" s="12"/>
    </row>
    <row r="34" spans="1:7">
      <c r="A34" s="107">
        <v>60086514</v>
      </c>
      <c r="B34" s="107" t="s">
        <v>134</v>
      </c>
      <c r="C34" s="107" t="str">
        <f>VLOOKUP(A34,'[2]Sheet1 (2)'!$G:$I,3,0)</f>
        <v>UH MS 30x30 FCx2 oyster</v>
      </c>
      <c r="D34" s="88" t="s">
        <v>129</v>
      </c>
      <c r="E34" s="88">
        <v>919234</v>
      </c>
      <c r="G34" s="12"/>
    </row>
    <row r="35" spans="1:7">
      <c r="A35" s="107">
        <v>60086506</v>
      </c>
      <c r="B35" s="107" t="s">
        <v>135</v>
      </c>
      <c r="C35" s="107" t="str">
        <f>VLOOKUP(A35,'[2]Sheet1 (2)'!$G:$I,3,0)</f>
        <v>UH MS 30x30 FCx2 Pacific</v>
      </c>
      <c r="D35" s="88" t="s">
        <v>129</v>
      </c>
      <c r="E35" s="88">
        <v>919234</v>
      </c>
      <c r="G35" s="12"/>
    </row>
    <row r="36" spans="1:7">
      <c r="A36" s="107">
        <v>60086503</v>
      </c>
      <c r="B36" s="107" t="s">
        <v>136</v>
      </c>
      <c r="C36" s="107" t="str">
        <f>VLOOKUP(A36,'[2]Sheet1 (2)'!$G:$I,3,0)</f>
        <v>UH MS 30x30 FCx2 p pacific</v>
      </c>
      <c r="D36" s="88" t="s">
        <v>129</v>
      </c>
      <c r="E36" s="88">
        <v>919234</v>
      </c>
      <c r="G36" s="12"/>
    </row>
    <row r="37" spans="1:7">
      <c r="A37" s="107">
        <v>60086502</v>
      </c>
      <c r="B37" s="107" t="s">
        <v>137</v>
      </c>
      <c r="C37" s="107" t="str">
        <f>VLOOKUP(A37,'[2]Sheet1 (2)'!$G:$I,3,0)</f>
        <v>UH MS 30x30 FCx2 pale pink</v>
      </c>
      <c r="D37" s="88" t="s">
        <v>129</v>
      </c>
      <c r="E37" s="88">
        <v>919234</v>
      </c>
      <c r="G37" s="12"/>
    </row>
    <row r="38" spans="1:7">
      <c r="A38" s="107">
        <v>60086511</v>
      </c>
      <c r="B38" s="107" t="s">
        <v>138</v>
      </c>
      <c r="C38" s="107" t="str">
        <f>VLOOKUP(A38,'[2]Sheet1 (2)'!$G:$I,3,0)</f>
        <v>UH MS 30x30 FCx2 white</v>
      </c>
      <c r="D38" s="88" t="s">
        <v>129</v>
      </c>
      <c r="E38" s="88">
        <v>919234</v>
      </c>
      <c r="G38" s="12"/>
    </row>
    <row r="39" spans="1:7">
      <c r="A39" s="107">
        <v>60086717</v>
      </c>
      <c r="B39" s="107" t="s">
        <v>87</v>
      </c>
      <c r="C39" s="107" t="str">
        <f>VLOOKUP(A39,'[2]Sheet1 (2)'!$G:$I,3,0)</f>
        <v>UH MS HT 90x50 Drk Steel</v>
      </c>
      <c r="D39" s="88" t="s">
        <v>88</v>
      </c>
      <c r="E39" s="88">
        <v>919236</v>
      </c>
      <c r="F39" s="88" t="s">
        <v>89</v>
      </c>
      <c r="G39" s="12"/>
    </row>
    <row r="40" spans="1:7">
      <c r="A40" s="107">
        <v>60086819</v>
      </c>
      <c r="B40" s="107" t="s">
        <v>139</v>
      </c>
      <c r="C40" s="107" t="str">
        <f>VLOOKUP(A40,'[2]Sheet1 (2)'!$G:$I,3,0)</f>
        <v>UH MS BT 135x70 Drk Steel</v>
      </c>
      <c r="D40" s="88" t="s">
        <v>109</v>
      </c>
      <c r="E40" s="88">
        <v>919238</v>
      </c>
      <c r="G40" s="12"/>
    </row>
    <row r="41" spans="1:7">
      <c r="A41" s="107">
        <v>60086957</v>
      </c>
      <c r="B41" s="107" t="s">
        <v>140</v>
      </c>
      <c r="C41" s="107" t="str">
        <f>VLOOKUP(A41,'[2]Sheet1 (2)'!$G:$I,3,0)</f>
        <v>UH MS BS 160x90 Drk Steel</v>
      </c>
      <c r="D41" s="88" t="s">
        <v>118</v>
      </c>
      <c r="E41" s="88">
        <v>919235</v>
      </c>
    </row>
    <row r="42" spans="1:7">
      <c r="A42" s="107">
        <v>60086705</v>
      </c>
      <c r="B42" s="107" t="s">
        <v>90</v>
      </c>
      <c r="C42" s="107" t="str">
        <f>VLOOKUP(A42,'[2]Sheet1 (2)'!$G:$I,3,0)</f>
        <v>UH MS HT 90x50 pale pacific</v>
      </c>
      <c r="D42" s="88" t="s">
        <v>88</v>
      </c>
      <c r="E42" s="88">
        <v>919236</v>
      </c>
      <c r="F42" s="88" t="s">
        <v>91</v>
      </c>
    </row>
    <row r="43" spans="1:7">
      <c r="A43" s="107">
        <v>60086707</v>
      </c>
      <c r="B43" s="107" t="s">
        <v>92</v>
      </c>
      <c r="C43" s="107" t="str">
        <f>VLOOKUP(A43,'[2]Sheet1 (2)'!$G:$I,3,0)</f>
        <v>UH MS HT 90x50 olive</v>
      </c>
      <c r="D43" s="88" t="s">
        <v>88</v>
      </c>
      <c r="E43" s="88">
        <v>919236</v>
      </c>
      <c r="F43" s="88" t="s">
        <v>93</v>
      </c>
    </row>
    <row r="44" spans="1:7">
      <c r="A44" s="107">
        <v>60086709</v>
      </c>
      <c r="B44" s="107" t="s">
        <v>94</v>
      </c>
      <c r="C44" s="107" t="str">
        <f>VLOOKUP(A44,'[2]Sheet1 (2)'!$G:$I,3,0)</f>
        <v>UH MS HT 90x50 pale pink</v>
      </c>
      <c r="D44" s="88" t="s">
        <v>88</v>
      </c>
      <c r="E44" s="88">
        <v>919236</v>
      </c>
      <c r="F44" s="88" t="s">
        <v>95</v>
      </c>
    </row>
    <row r="45" spans="1:7">
      <c r="A45" s="107">
        <v>60086711</v>
      </c>
      <c r="B45" s="107" t="s">
        <v>96</v>
      </c>
      <c r="C45" s="107" t="str">
        <f>VLOOKUP(A45,'[2]Sheet1 (2)'!$G:$I,3,0)</f>
        <v>UH MS  HT 90x50 latte</v>
      </c>
      <c r="D45" s="88" t="s">
        <v>88</v>
      </c>
      <c r="E45" s="88">
        <v>919236</v>
      </c>
      <c r="F45" s="88" t="s">
        <v>97</v>
      </c>
    </row>
    <row r="46" spans="1:7">
      <c r="A46" s="107">
        <v>60086712</v>
      </c>
      <c r="B46" s="107" t="s">
        <v>98</v>
      </c>
      <c r="C46" s="107" t="str">
        <f>VLOOKUP(A46,'[2]Sheet1 (2)'!$G:$I,3,0)</f>
        <v>UH MS HT 90x50 Pacific</v>
      </c>
      <c r="D46" s="88" t="s">
        <v>88</v>
      </c>
      <c r="E46" s="88">
        <v>919236</v>
      </c>
      <c r="F46" s="88" t="s">
        <v>99</v>
      </c>
    </row>
    <row r="47" spans="1:7">
      <c r="A47" s="107">
        <v>60086718</v>
      </c>
      <c r="B47" s="107" t="s">
        <v>100</v>
      </c>
      <c r="C47" s="107" t="str">
        <f>VLOOKUP(A47,'[2]Sheet1 (2)'!$G:$I,3,0)</f>
        <v>UH MS  HT 90x50 white</v>
      </c>
      <c r="D47" s="88" t="s">
        <v>88</v>
      </c>
      <c r="E47" s="88">
        <v>919236</v>
      </c>
      <c r="F47" s="88" t="s">
        <v>101</v>
      </c>
    </row>
    <row r="48" spans="1:7">
      <c r="A48" s="107">
        <v>60086713</v>
      </c>
      <c r="B48" s="107" t="s">
        <v>102</v>
      </c>
      <c r="C48" s="107" t="str">
        <f>VLOOKUP(A48,'[2]Sheet1 (2)'!$G:$I,3,0)</f>
        <v>UH MS  HT 90x50 navy</v>
      </c>
      <c r="D48" s="88" t="s">
        <v>88</v>
      </c>
      <c r="E48" s="88">
        <v>919236</v>
      </c>
      <c r="F48" s="88" t="s">
        <v>103</v>
      </c>
    </row>
    <row r="49" spans="1:6">
      <c r="A49" s="107">
        <v>60086719</v>
      </c>
      <c r="B49" s="107" t="s">
        <v>104</v>
      </c>
      <c r="C49" s="107" t="str">
        <f>VLOOKUP(A49,'[2]Sheet1 (2)'!$G:$I,3,0)</f>
        <v>UH MS  HT 90x50 oyster</v>
      </c>
      <c r="D49" s="88" t="s">
        <v>88</v>
      </c>
      <c r="E49" s="88">
        <v>919236</v>
      </c>
      <c r="F49" s="88" t="s">
        <v>105</v>
      </c>
    </row>
    <row r="50" spans="1:6">
      <c r="A50" s="107">
        <v>60086714</v>
      </c>
      <c r="B50" s="107" t="s">
        <v>106</v>
      </c>
      <c r="C50" s="107" t="str">
        <f>VLOOKUP(A50,'[2]Sheet1 (2)'!$G:$I,3,0)</f>
        <v>UH MS  HT 90x50 clover</v>
      </c>
      <c r="D50" s="88" t="s">
        <v>88</v>
      </c>
      <c r="E50" s="88">
        <v>919236</v>
      </c>
      <c r="F50" s="88" t="s">
        <v>107</v>
      </c>
    </row>
    <row r="51" spans="1:6">
      <c r="A51" s="107">
        <v>60086805</v>
      </c>
      <c r="B51" s="107" t="s">
        <v>108</v>
      </c>
      <c r="C51" s="107" t="str">
        <f>VLOOKUP(A51,'[2]Sheet1 (2)'!$G:$I,3,0)</f>
        <v>UH MS BT 135x70 pale pacific</v>
      </c>
      <c r="D51" s="88" t="s">
        <v>109</v>
      </c>
      <c r="E51" s="88">
        <v>919238</v>
      </c>
    </row>
    <row r="52" spans="1:6">
      <c r="A52" s="107">
        <v>60086806</v>
      </c>
      <c r="B52" s="107" t="s">
        <v>110</v>
      </c>
      <c r="C52" s="107" t="str">
        <f>VLOOKUP(A52,'[2]Sheet1 (2)'!$G:$I,3,0)</f>
        <v>UH MS BT 135x70 olive</v>
      </c>
      <c r="D52" s="88" t="s">
        <v>109</v>
      </c>
      <c r="E52" s="88">
        <v>919238</v>
      </c>
    </row>
    <row r="53" spans="1:6">
      <c r="A53" s="107">
        <v>60086809</v>
      </c>
      <c r="B53" s="107" t="s">
        <v>111</v>
      </c>
      <c r="C53" s="107" t="str">
        <f>VLOOKUP(A53,'[2]Sheet1 (2)'!$G:$I,3,0)</f>
        <v>UH MS BT 135x70 pale pink</v>
      </c>
      <c r="D53" s="88" t="s">
        <v>109</v>
      </c>
      <c r="E53" s="88">
        <v>919238</v>
      </c>
    </row>
    <row r="54" spans="1:6">
      <c r="A54" s="107">
        <v>60086811</v>
      </c>
      <c r="B54" s="107" t="s">
        <v>112</v>
      </c>
      <c r="C54" s="107" t="str">
        <f>VLOOKUP(A54,'[2]Sheet1 (2)'!$G:$I,3,0)</f>
        <v>UH MS BT 135x70 latte</v>
      </c>
      <c r="D54" s="88" t="s">
        <v>109</v>
      </c>
      <c r="E54" s="88">
        <v>919238</v>
      </c>
    </row>
    <row r="55" spans="1:6">
      <c r="A55" s="107">
        <v>60086812</v>
      </c>
      <c r="B55" s="107" t="s">
        <v>113</v>
      </c>
      <c r="C55" s="107" t="str">
        <f>VLOOKUP(A55,'[2]Sheet1 (2)'!$G:$I,3,0)</f>
        <v xml:space="preserve">UH MS BT 135x70 Pacific </v>
      </c>
      <c r="D55" s="88" t="s">
        <v>109</v>
      </c>
      <c r="E55" s="88">
        <v>919238</v>
      </c>
    </row>
    <row r="56" spans="1:6">
      <c r="A56" s="107">
        <v>60086813</v>
      </c>
      <c r="B56" s="107" t="s">
        <v>114</v>
      </c>
      <c r="C56" s="107" t="str">
        <f>VLOOKUP(A56,'[2]Sheet1 (2)'!$G:$I,3,0)</f>
        <v>UH MS BT 135x70 white</v>
      </c>
      <c r="D56" s="88" t="s">
        <v>109</v>
      </c>
      <c r="E56" s="88">
        <v>919238</v>
      </c>
    </row>
    <row r="57" spans="1:6">
      <c r="A57" s="107">
        <v>60086814</v>
      </c>
      <c r="B57" s="107" t="s">
        <v>115</v>
      </c>
      <c r="C57" s="107" t="str">
        <f>VLOOKUP(A57,'[2]Sheet1 (2)'!$G:$I,3,0)</f>
        <v>UH MS BT 135x70 navy</v>
      </c>
      <c r="D57" s="88" t="s">
        <v>109</v>
      </c>
      <c r="E57" s="88">
        <v>919238</v>
      </c>
    </row>
    <row r="58" spans="1:6">
      <c r="A58" s="107">
        <v>60086815</v>
      </c>
      <c r="B58" s="107" t="s">
        <v>116</v>
      </c>
      <c r="C58" s="107" t="str">
        <f>VLOOKUP(A58,'[2]Sheet1 (2)'!$G:$I,3,0)</f>
        <v>UH MS BT 135x70 oyster</v>
      </c>
      <c r="D58" s="88" t="s">
        <v>109</v>
      </c>
      <c r="E58" s="88">
        <v>919238</v>
      </c>
    </row>
    <row r="59" spans="1:6">
      <c r="A59" s="107">
        <v>60086817</v>
      </c>
      <c r="B59" s="107" t="s">
        <v>141</v>
      </c>
      <c r="C59" s="107" t="str">
        <f>VLOOKUP(A59,'[2]Sheet1 (2)'!$G:$I,3,0)</f>
        <v>UH MS BT 135x70 clover</v>
      </c>
      <c r="D59" s="88" t="s">
        <v>109</v>
      </c>
      <c r="E59" s="88">
        <v>919238</v>
      </c>
    </row>
    <row r="60" spans="1:6">
      <c r="A60" s="107">
        <v>60086818</v>
      </c>
      <c r="B60" s="107" t="s">
        <v>142</v>
      </c>
      <c r="C60" s="107" t="str">
        <f>VLOOKUP(A60,'[2]Sheet1 (2)'!$G:$I,3,0)</f>
        <v>UH MS BT 135x70 dove grey</v>
      </c>
      <c r="D60" s="88" t="s">
        <v>109</v>
      </c>
      <c r="E60" s="88">
        <v>919238</v>
      </c>
    </row>
    <row r="61" spans="1:6">
      <c r="A61" s="107">
        <v>60086905</v>
      </c>
      <c r="B61" s="107" t="s">
        <v>117</v>
      </c>
      <c r="C61" s="107" t="str">
        <f>VLOOKUP(A61,'[2]Sheet1 (2)'!$G:$I,3,0)</f>
        <v>UH MS BS 160x90 pale pacific</v>
      </c>
      <c r="D61" s="88" t="s">
        <v>118</v>
      </c>
      <c r="E61" s="88">
        <v>919235</v>
      </c>
    </row>
    <row r="62" spans="1:6">
      <c r="A62" s="107">
        <v>60086906</v>
      </c>
      <c r="B62" s="107" t="s">
        <v>119</v>
      </c>
      <c r="C62" s="107" t="str">
        <f>VLOOKUP(A62,'[2]Sheet1 (2)'!$G:$I,3,0)</f>
        <v>UH MS BS 160x90 olive</v>
      </c>
      <c r="D62" s="88" t="s">
        <v>118</v>
      </c>
      <c r="E62" s="88">
        <v>919235</v>
      </c>
    </row>
    <row r="63" spans="1:6">
      <c r="A63" s="107">
        <v>60086949</v>
      </c>
      <c r="B63" s="107" t="s">
        <v>120</v>
      </c>
      <c r="C63" s="107" t="str">
        <f>VLOOKUP(A63,'[2]Sheet1 (2)'!$G:$I,3,0)</f>
        <v>UH MS BS 160x90 pale pink</v>
      </c>
      <c r="D63" s="88" t="s">
        <v>118</v>
      </c>
      <c r="E63" s="88">
        <v>919235</v>
      </c>
    </row>
    <row r="64" spans="1:6">
      <c r="A64" s="107">
        <v>60086958</v>
      </c>
      <c r="B64" s="107" t="s">
        <v>143</v>
      </c>
      <c r="C64" s="107" t="str">
        <f>VLOOKUP(A64,'[2]Sheet1 (2)'!$G:$I,3,0)</f>
        <v>UH MS BS 160x90 linen</v>
      </c>
      <c r="D64" s="88" t="s">
        <v>118</v>
      </c>
      <c r="E64" s="88">
        <v>919235</v>
      </c>
    </row>
    <row r="65" spans="1:5">
      <c r="A65" s="107">
        <v>60086950</v>
      </c>
      <c r="B65" s="107" t="s">
        <v>121</v>
      </c>
      <c r="C65" s="107" t="str">
        <f>VLOOKUP(A65,'[2]Sheet1 (2)'!$G:$I,3,0)</f>
        <v>UH MS BS 160x90 Pacific</v>
      </c>
      <c r="D65" s="88" t="s">
        <v>118</v>
      </c>
      <c r="E65" s="88">
        <v>919235</v>
      </c>
    </row>
    <row r="66" spans="1:5">
      <c r="A66" s="107">
        <v>60086951</v>
      </c>
      <c r="B66" s="107" t="s">
        <v>144</v>
      </c>
      <c r="C66" s="107" t="str">
        <f>VLOOKUP(A66,'[2]Sheet1 (2)'!$G:$I,3,0)</f>
        <v>UH MS BS 160x90 latte</v>
      </c>
      <c r="D66" s="88" t="s">
        <v>118</v>
      </c>
      <c r="E66" s="88">
        <v>919235</v>
      </c>
    </row>
    <row r="67" spans="1:5">
      <c r="A67" s="107">
        <v>60086952</v>
      </c>
      <c r="B67" s="107" t="s">
        <v>122</v>
      </c>
      <c r="C67" s="107" t="str">
        <f>VLOOKUP(A67,'[2]Sheet1 (2)'!$G:$I,3,0)</f>
        <v>UH MS BS 160x90 white</v>
      </c>
      <c r="D67" s="88" t="s">
        <v>118</v>
      </c>
      <c r="E67" s="88">
        <v>919235</v>
      </c>
    </row>
    <row r="68" spans="1:5">
      <c r="A68" s="107">
        <v>60086953</v>
      </c>
      <c r="B68" s="107" t="s">
        <v>123</v>
      </c>
      <c r="C68" s="107" t="str">
        <f>VLOOKUP(A68,'[2]Sheet1 (2)'!$G:$I,3,0)</f>
        <v>UH MS BS 160x90 navy</v>
      </c>
      <c r="D68" s="88" t="s">
        <v>118</v>
      </c>
      <c r="E68" s="88">
        <v>919235</v>
      </c>
    </row>
    <row r="69" spans="1:5">
      <c r="A69" s="107">
        <v>60086954</v>
      </c>
      <c r="B69" s="107" t="s">
        <v>124</v>
      </c>
      <c r="C69" s="107" t="str">
        <f>VLOOKUP(A69,'[2]Sheet1 (2)'!$G:$I,3,0)</f>
        <v>UH MS BS 160x90 oyster</v>
      </c>
      <c r="D69" s="88" t="s">
        <v>118</v>
      </c>
      <c r="E69" s="88">
        <v>919235</v>
      </c>
    </row>
    <row r="70" spans="1:5">
      <c r="A70" s="107">
        <v>60086955</v>
      </c>
      <c r="B70" s="107" t="s">
        <v>125</v>
      </c>
      <c r="C70" s="107" t="str">
        <f>VLOOKUP(A70,'[2]Sheet1 (2)'!$G:$I,3,0)</f>
        <v>UH MS BS 160x90 clover</v>
      </c>
      <c r="D70" s="88" t="s">
        <v>118</v>
      </c>
      <c r="E70" s="88">
        <v>919235</v>
      </c>
    </row>
    <row r="71" spans="1:5">
      <c r="A71" s="107">
        <v>60086956</v>
      </c>
      <c r="B71" s="107" t="s">
        <v>145</v>
      </c>
      <c r="C71" s="107" t="str">
        <f>VLOOKUP(A71,'[2]Sheet1 (2)'!$G:$I,3,0)</f>
        <v>UH MS BS 160x90 dove grey</v>
      </c>
      <c r="D71" s="88" t="s">
        <v>118</v>
      </c>
      <c r="E71" s="88">
        <v>919235</v>
      </c>
    </row>
    <row r="72" spans="1:5">
      <c r="A72" s="107">
        <v>60087003</v>
      </c>
      <c r="B72" s="107" t="s">
        <v>146</v>
      </c>
      <c r="C72" s="107" t="str">
        <f>VLOOKUP(A72,'[2]Sheet1 (2)'!$G:$I,3,0)</f>
        <v>UH MS XL BS 180x100 white</v>
      </c>
      <c r="D72" s="88" t="s">
        <v>127</v>
      </c>
      <c r="E72" s="88">
        <v>919237</v>
      </c>
    </row>
    <row r="73" spans="1:5">
      <c r="A73" s="107">
        <v>60087004</v>
      </c>
      <c r="B73" s="107" t="s">
        <v>126</v>
      </c>
      <c r="C73" s="107" t="str">
        <f>VLOOKUP(A73,'[2]Sheet1 (2)'!$G:$I,3,0)</f>
        <v>UH MS XLBS 180x100 dove grey</v>
      </c>
      <c r="D73" s="88" t="s">
        <v>127</v>
      </c>
      <c r="E73" s="88">
        <v>919237</v>
      </c>
    </row>
    <row r="74" spans="1:5">
      <c r="A74" s="107">
        <v>60086501</v>
      </c>
      <c r="B74" s="107" t="s">
        <v>128</v>
      </c>
      <c r="C74" s="107" t="str">
        <f>VLOOKUP(A74,'[2]Sheet1 (2)'!$G:$I,3,0)</f>
        <v>UH MS 30x30 FCx2 olive</v>
      </c>
      <c r="D74" s="88" t="s">
        <v>129</v>
      </c>
      <c r="E74" s="88">
        <v>919234</v>
      </c>
    </row>
    <row r="75" spans="1:5">
      <c r="A75" s="107">
        <v>60086510</v>
      </c>
      <c r="B75" s="107" t="s">
        <v>130</v>
      </c>
      <c r="C75" s="107" t="str">
        <f>VLOOKUP(A75,'[2]Sheet1 (2)'!$G:$I,3,0)</f>
        <v>UH MS 30x30 FCx2 clover</v>
      </c>
      <c r="D75" s="88" t="s">
        <v>129</v>
      </c>
      <c r="E75" s="88">
        <v>919234</v>
      </c>
    </row>
    <row r="76" spans="1:5">
      <c r="A76" s="107">
        <v>60086509</v>
      </c>
      <c r="B76" s="107" t="s">
        <v>131</v>
      </c>
      <c r="C76" s="107" t="str">
        <f>VLOOKUP(A76,'[2]Sheet1 (2)'!$G:$I,3,0)</f>
        <v>UH MS 30x30 FCx2 latte</v>
      </c>
      <c r="D76" s="88" t="s">
        <v>129</v>
      </c>
      <c r="E76" s="88">
        <v>919234</v>
      </c>
    </row>
    <row r="77" spans="1:5">
      <c r="A77" s="107">
        <v>60086505</v>
      </c>
      <c r="B77" s="107" t="s">
        <v>132</v>
      </c>
      <c r="C77" s="107" t="str">
        <f>VLOOKUP(A77,'[2]Sheet1 (2)'!$G:$I,3,0)</f>
        <v>UH MS 30x30 FCx2 linen</v>
      </c>
      <c r="D77" s="88" t="s">
        <v>129</v>
      </c>
      <c r="E77" s="88">
        <v>919234</v>
      </c>
    </row>
    <row r="78" spans="1:5">
      <c r="A78" s="107">
        <v>60086507</v>
      </c>
      <c r="B78" s="107" t="s">
        <v>133</v>
      </c>
      <c r="C78" s="107" t="str">
        <f>VLOOKUP(A78,'[2]Sheet1 (2)'!$G:$I,3,0)</f>
        <v>UH MS 30x30 FCx2 navy</v>
      </c>
      <c r="D78" s="88" t="s">
        <v>129</v>
      </c>
      <c r="E78" s="88">
        <v>919234</v>
      </c>
    </row>
    <row r="79" spans="1:5">
      <c r="A79" s="107">
        <v>60086514</v>
      </c>
      <c r="B79" s="107" t="s">
        <v>134</v>
      </c>
      <c r="C79" s="107" t="str">
        <f>VLOOKUP(A79,'[2]Sheet1 (2)'!$G:$I,3,0)</f>
        <v>UH MS 30x30 FCx2 oyster</v>
      </c>
      <c r="D79" s="88" t="s">
        <v>129</v>
      </c>
      <c r="E79" s="88">
        <v>919234</v>
      </c>
    </row>
    <row r="80" spans="1:5">
      <c r="A80" s="107">
        <v>60086506</v>
      </c>
      <c r="B80" s="107" t="s">
        <v>135</v>
      </c>
      <c r="C80" s="107" t="str">
        <f>VLOOKUP(A80,'[2]Sheet1 (2)'!$G:$I,3,0)</f>
        <v>UH MS 30x30 FCx2 Pacific</v>
      </c>
      <c r="D80" s="88" t="s">
        <v>129</v>
      </c>
      <c r="E80" s="88">
        <v>919234</v>
      </c>
    </row>
    <row r="81" spans="1:7">
      <c r="A81" s="107">
        <v>60086503</v>
      </c>
      <c r="B81" s="107" t="s">
        <v>136</v>
      </c>
      <c r="C81" s="107" t="str">
        <f>VLOOKUP(A81,'[2]Sheet1 (2)'!$G:$I,3,0)</f>
        <v>UH MS 30x30 FCx2 p pacific</v>
      </c>
      <c r="D81" s="88" t="s">
        <v>129</v>
      </c>
      <c r="E81" s="88">
        <v>919234</v>
      </c>
    </row>
    <row r="82" spans="1:7">
      <c r="A82" s="107">
        <v>60086502</v>
      </c>
      <c r="B82" s="107" t="s">
        <v>137</v>
      </c>
      <c r="C82" s="107" t="str">
        <f>VLOOKUP(A82,'[2]Sheet1 (2)'!$G:$I,3,0)</f>
        <v>UH MS 30x30 FCx2 pale pink</v>
      </c>
      <c r="D82" s="88" t="s">
        <v>129</v>
      </c>
      <c r="E82" s="88">
        <v>919234</v>
      </c>
    </row>
    <row r="83" spans="1:7">
      <c r="A83" s="107">
        <v>60086511</v>
      </c>
      <c r="B83" s="107" t="s">
        <v>138</v>
      </c>
      <c r="C83" s="107" t="str">
        <f>VLOOKUP(A83,'[2]Sheet1 (2)'!$G:$I,3,0)</f>
        <v>UH MS 30x30 FCx2 white</v>
      </c>
      <c r="D83" s="88" t="s">
        <v>129</v>
      </c>
      <c r="E83" s="88">
        <v>919234</v>
      </c>
    </row>
    <row r="84" spans="1:7">
      <c r="A84" s="107">
        <v>60086512</v>
      </c>
      <c r="B84" s="107" t="s">
        <v>147</v>
      </c>
      <c r="C84" s="107" t="str">
        <f>VLOOKUP(A84,'[2]Sheet1 (2)'!$G:$I,3,0)</f>
        <v>UH MS 30x30 FCx2 Drk Steel</v>
      </c>
      <c r="D84" s="88" t="s">
        <v>129</v>
      </c>
      <c r="E84" s="88">
        <v>919234</v>
      </c>
    </row>
    <row r="85" spans="1:7">
      <c r="A85" s="107">
        <v>60086717</v>
      </c>
      <c r="B85" s="107" t="s">
        <v>87</v>
      </c>
      <c r="C85" s="107" t="str">
        <f>VLOOKUP(A85,'[2]Sheet1 (2)'!$G:$I,3,0)</f>
        <v>UH MS HT 90x50 Drk Steel</v>
      </c>
      <c r="D85" s="88" t="s">
        <v>88</v>
      </c>
      <c r="E85" s="88">
        <v>919236</v>
      </c>
      <c r="F85" s="88" t="s">
        <v>89</v>
      </c>
    </row>
    <row r="86" spans="1:7">
      <c r="A86" s="107">
        <v>60086819</v>
      </c>
      <c r="B86" s="107" t="s">
        <v>139</v>
      </c>
      <c r="C86" s="107" t="str">
        <f>VLOOKUP(A86,'[2]Sheet1 (2)'!$G:$I,3,0)</f>
        <v>UH MS BT 135x70 Drk Steel</v>
      </c>
      <c r="D86" s="88" t="s">
        <v>109</v>
      </c>
      <c r="E86" s="88">
        <v>919238</v>
      </c>
    </row>
    <row r="87" spans="1:7">
      <c r="A87" s="107">
        <v>60086957</v>
      </c>
      <c r="B87" s="107" t="s">
        <v>140</v>
      </c>
      <c r="C87" s="107" t="str">
        <f>VLOOKUP(A87,'[2]Sheet1 (2)'!$G:$I,3,0)</f>
        <v>UH MS BS 160x90 Drk Steel</v>
      </c>
      <c r="D87" s="88" t="s">
        <v>118</v>
      </c>
      <c r="E87" s="88">
        <v>919235</v>
      </c>
    </row>
    <row r="88" spans="1:7">
      <c r="A88" s="107">
        <v>60086705</v>
      </c>
      <c r="B88" s="107" t="s">
        <v>90</v>
      </c>
      <c r="C88" s="107" t="str">
        <f>VLOOKUP(A88,'[2]Sheet1 (2)'!$G:$I,3,0)</f>
        <v>UH MS HT 90x50 pale pacific</v>
      </c>
      <c r="D88" s="88" t="s">
        <v>88</v>
      </c>
      <c r="E88" s="88">
        <v>919236</v>
      </c>
      <c r="F88" s="88" t="s">
        <v>91</v>
      </c>
    </row>
    <row r="89" spans="1:7">
      <c r="A89" s="107">
        <v>60086707</v>
      </c>
      <c r="B89" s="107" t="s">
        <v>92</v>
      </c>
      <c r="C89" s="107" t="str">
        <f>VLOOKUP(A89,'[2]Sheet1 (2)'!$G:$I,3,0)</f>
        <v>UH MS HT 90x50 olive</v>
      </c>
      <c r="D89" s="88" t="s">
        <v>88</v>
      </c>
      <c r="E89" s="88">
        <v>919236</v>
      </c>
      <c r="F89" s="88" t="s">
        <v>93</v>
      </c>
      <c r="G89" s="96"/>
    </row>
    <row r="90" spans="1:7">
      <c r="A90" s="107">
        <v>60086709</v>
      </c>
      <c r="B90" s="107" t="s">
        <v>94</v>
      </c>
      <c r="C90" s="107" t="str">
        <f>VLOOKUP(A90,'[2]Sheet1 (2)'!$G:$I,3,0)</f>
        <v>UH MS HT 90x50 pale pink</v>
      </c>
      <c r="D90" s="88" t="s">
        <v>88</v>
      </c>
      <c r="E90" s="88">
        <v>919236</v>
      </c>
      <c r="F90" s="88" t="s">
        <v>95</v>
      </c>
    </row>
    <row r="91" spans="1:7">
      <c r="A91" s="107">
        <v>60086711</v>
      </c>
      <c r="B91" s="107" t="s">
        <v>96</v>
      </c>
      <c r="C91" s="107" t="str">
        <f>VLOOKUP(A91,'[2]Sheet1 (2)'!$G:$I,3,0)</f>
        <v>UH MS  HT 90x50 latte</v>
      </c>
      <c r="D91" s="88" t="s">
        <v>88</v>
      </c>
      <c r="E91" s="88">
        <v>919236</v>
      </c>
      <c r="F91" s="88" t="s">
        <v>97</v>
      </c>
    </row>
    <row r="92" spans="1:7">
      <c r="A92" s="107">
        <v>60086712</v>
      </c>
      <c r="B92" s="107" t="s">
        <v>98</v>
      </c>
      <c r="C92" s="107" t="str">
        <f>VLOOKUP(A92,'[2]Sheet1 (2)'!$G:$I,3,0)</f>
        <v>UH MS HT 90x50 Pacific</v>
      </c>
      <c r="D92" s="88" t="s">
        <v>88</v>
      </c>
      <c r="E92" s="88">
        <v>919236</v>
      </c>
      <c r="F92" s="88" t="s">
        <v>99</v>
      </c>
    </row>
    <row r="93" spans="1:7">
      <c r="A93" s="107">
        <v>60086718</v>
      </c>
      <c r="B93" s="107" t="s">
        <v>100</v>
      </c>
      <c r="C93" s="107" t="str">
        <f>VLOOKUP(A93,'[2]Sheet1 (2)'!$G:$I,3,0)</f>
        <v>UH MS  HT 90x50 white</v>
      </c>
      <c r="D93" s="88" t="s">
        <v>88</v>
      </c>
      <c r="E93" s="88">
        <v>919236</v>
      </c>
      <c r="F93" s="88" t="s">
        <v>101</v>
      </c>
      <c r="G93" s="96"/>
    </row>
    <row r="94" spans="1:7">
      <c r="A94" s="107">
        <v>60086713</v>
      </c>
      <c r="B94" s="107" t="s">
        <v>102</v>
      </c>
      <c r="C94" s="107" t="str">
        <f>VLOOKUP(A94,'[2]Sheet1 (2)'!$G:$I,3,0)</f>
        <v>UH MS  HT 90x50 navy</v>
      </c>
      <c r="D94" s="88" t="s">
        <v>88</v>
      </c>
      <c r="E94" s="88">
        <v>919236</v>
      </c>
      <c r="F94" s="88" t="s">
        <v>103</v>
      </c>
      <c r="G94" s="96"/>
    </row>
    <row r="95" spans="1:7">
      <c r="A95" s="107">
        <v>60086719</v>
      </c>
      <c r="B95" s="107" t="s">
        <v>104</v>
      </c>
      <c r="C95" s="107" t="str">
        <f>VLOOKUP(A95,'[2]Sheet1 (2)'!$G:$I,3,0)</f>
        <v>UH MS  HT 90x50 oyster</v>
      </c>
      <c r="D95" s="88" t="s">
        <v>88</v>
      </c>
      <c r="E95" s="88">
        <v>919236</v>
      </c>
      <c r="F95" s="88" t="s">
        <v>105</v>
      </c>
    </row>
    <row r="96" spans="1:7">
      <c r="A96" s="107">
        <v>60086714</v>
      </c>
      <c r="B96" s="107" t="s">
        <v>106</v>
      </c>
      <c r="C96" s="107" t="str">
        <f>VLOOKUP(A96,'[2]Sheet1 (2)'!$G:$I,3,0)</f>
        <v>UH MS  HT 90x50 clover</v>
      </c>
      <c r="D96" s="88" t="s">
        <v>88</v>
      </c>
      <c r="E96" s="88">
        <v>919236</v>
      </c>
      <c r="F96" s="88" t="s">
        <v>107</v>
      </c>
      <c r="G96" s="96"/>
    </row>
    <row r="97" spans="1:7">
      <c r="A97" s="107">
        <v>60086805</v>
      </c>
      <c r="B97" s="107" t="s">
        <v>108</v>
      </c>
      <c r="C97" s="107" t="str">
        <f>VLOOKUP(A97,'[2]Sheet1 (2)'!$G:$I,3,0)</f>
        <v>UH MS BT 135x70 pale pacific</v>
      </c>
      <c r="D97" s="88" t="s">
        <v>109</v>
      </c>
      <c r="E97" s="88">
        <v>919238</v>
      </c>
    </row>
    <row r="98" spans="1:7">
      <c r="A98" s="107">
        <v>60086806</v>
      </c>
      <c r="B98" s="107" t="s">
        <v>110</v>
      </c>
      <c r="C98" s="107" t="str">
        <f>VLOOKUP(A98,'[2]Sheet1 (2)'!$G:$I,3,0)</f>
        <v>UH MS BT 135x70 olive</v>
      </c>
      <c r="D98" s="88" t="s">
        <v>109</v>
      </c>
      <c r="E98" s="88">
        <v>919238</v>
      </c>
    </row>
    <row r="99" spans="1:7">
      <c r="A99" s="107">
        <v>60086809</v>
      </c>
      <c r="B99" s="107" t="s">
        <v>111</v>
      </c>
      <c r="C99" s="107" t="str">
        <f>VLOOKUP(A99,'[2]Sheet1 (2)'!$G:$I,3,0)</f>
        <v>UH MS BT 135x70 pale pink</v>
      </c>
      <c r="D99" s="88" t="s">
        <v>109</v>
      </c>
      <c r="E99" s="88">
        <v>919238</v>
      </c>
      <c r="G99" s="96"/>
    </row>
    <row r="100" spans="1:7">
      <c r="A100" s="107">
        <v>60086811</v>
      </c>
      <c r="B100" s="107" t="s">
        <v>112</v>
      </c>
      <c r="C100" s="107" t="str">
        <f>VLOOKUP(A100,'[2]Sheet1 (2)'!$G:$I,3,0)</f>
        <v>UH MS BT 135x70 latte</v>
      </c>
      <c r="D100" s="88" t="s">
        <v>109</v>
      </c>
      <c r="E100" s="88">
        <v>919238</v>
      </c>
    </row>
    <row r="101" spans="1:7">
      <c r="A101" s="107">
        <v>60086812</v>
      </c>
      <c r="B101" s="107" t="s">
        <v>113</v>
      </c>
      <c r="C101" s="107" t="str">
        <f>VLOOKUP(A101,'[2]Sheet1 (2)'!$G:$I,3,0)</f>
        <v xml:space="preserve">UH MS BT 135x70 Pacific </v>
      </c>
      <c r="D101" s="88" t="s">
        <v>109</v>
      </c>
      <c r="E101" s="88">
        <v>919238</v>
      </c>
      <c r="G101" s="96"/>
    </row>
    <row r="102" spans="1:7">
      <c r="A102" s="107">
        <v>60086813</v>
      </c>
      <c r="B102" s="107" t="s">
        <v>114</v>
      </c>
      <c r="C102" s="107" t="str">
        <f>VLOOKUP(A102,'[2]Sheet1 (2)'!$G:$I,3,0)</f>
        <v>UH MS BT 135x70 white</v>
      </c>
      <c r="D102" s="88" t="s">
        <v>109</v>
      </c>
      <c r="E102" s="88">
        <v>919238</v>
      </c>
    </row>
    <row r="103" spans="1:7">
      <c r="A103" s="107">
        <v>60086814</v>
      </c>
      <c r="B103" s="107" t="s">
        <v>115</v>
      </c>
      <c r="C103" s="107" t="str">
        <f>VLOOKUP(A103,'[2]Sheet1 (2)'!$G:$I,3,0)</f>
        <v>UH MS BT 135x70 navy</v>
      </c>
      <c r="D103" s="88" t="s">
        <v>109</v>
      </c>
      <c r="E103" s="88">
        <v>919238</v>
      </c>
      <c r="G103" s="96"/>
    </row>
    <row r="104" spans="1:7">
      <c r="A104" s="107">
        <v>60086815</v>
      </c>
      <c r="B104" s="107" t="s">
        <v>116</v>
      </c>
      <c r="C104" s="107" t="str">
        <f>VLOOKUP(A104,'[2]Sheet1 (2)'!$G:$I,3,0)</f>
        <v>UH MS BT 135x70 oyster</v>
      </c>
      <c r="D104" s="88" t="s">
        <v>109</v>
      </c>
      <c r="E104" s="88">
        <v>919238</v>
      </c>
      <c r="G104" s="96"/>
    </row>
    <row r="105" spans="1:7">
      <c r="A105" s="107">
        <v>60086817</v>
      </c>
      <c r="B105" s="107" t="s">
        <v>141</v>
      </c>
      <c r="C105" s="107" t="str">
        <f>VLOOKUP(A105,'[2]Sheet1 (2)'!$G:$I,3,0)</f>
        <v>UH MS BT 135x70 clover</v>
      </c>
      <c r="D105" s="88" t="s">
        <v>109</v>
      </c>
      <c r="E105" s="88">
        <v>919238</v>
      </c>
    </row>
    <row r="106" spans="1:7">
      <c r="A106" s="107">
        <v>60086818</v>
      </c>
      <c r="B106" s="107" t="s">
        <v>142</v>
      </c>
      <c r="C106" s="107" t="str">
        <f>VLOOKUP(A106,'[2]Sheet1 (2)'!$G:$I,3,0)</f>
        <v>UH MS BT 135x70 dove grey</v>
      </c>
      <c r="D106" s="88" t="s">
        <v>109</v>
      </c>
      <c r="E106" s="88">
        <v>919238</v>
      </c>
    </row>
    <row r="107" spans="1:7">
      <c r="A107" s="107">
        <v>60086905</v>
      </c>
      <c r="B107" s="107" t="s">
        <v>117</v>
      </c>
      <c r="C107" s="107" t="str">
        <f>VLOOKUP(A107,'[2]Sheet1 (2)'!$G:$I,3,0)</f>
        <v>UH MS BS 160x90 pale pacific</v>
      </c>
      <c r="D107" s="88" t="s">
        <v>118</v>
      </c>
      <c r="E107" s="88">
        <v>919235</v>
      </c>
    </row>
    <row r="108" spans="1:7">
      <c r="A108" s="107">
        <v>60086906</v>
      </c>
      <c r="B108" s="107" t="s">
        <v>119</v>
      </c>
      <c r="C108" s="107" t="str">
        <f>VLOOKUP(A108,'[2]Sheet1 (2)'!$G:$I,3,0)</f>
        <v>UH MS BS 160x90 olive</v>
      </c>
      <c r="D108" s="88" t="s">
        <v>118</v>
      </c>
      <c r="E108" s="88">
        <v>919235</v>
      </c>
    </row>
    <row r="109" spans="1:7">
      <c r="A109" s="107">
        <v>60086949</v>
      </c>
      <c r="B109" s="107" t="s">
        <v>120</v>
      </c>
      <c r="C109" s="107" t="str">
        <f>VLOOKUP(A109,'[2]Sheet1 (2)'!$G:$I,3,0)</f>
        <v>UH MS BS 160x90 pale pink</v>
      </c>
      <c r="D109" s="88" t="s">
        <v>118</v>
      </c>
      <c r="E109" s="88">
        <v>919235</v>
      </c>
    </row>
    <row r="110" spans="1:7">
      <c r="A110" s="107">
        <v>60086958</v>
      </c>
      <c r="B110" s="107" t="s">
        <v>143</v>
      </c>
      <c r="C110" s="107" t="str">
        <f>VLOOKUP(A110,'[2]Sheet1 (2)'!$G:$I,3,0)</f>
        <v>UH MS BS 160x90 linen</v>
      </c>
      <c r="D110" s="88" t="s">
        <v>118</v>
      </c>
      <c r="E110" s="88">
        <v>919235</v>
      </c>
    </row>
    <row r="111" spans="1:7">
      <c r="A111" s="107">
        <v>60086950</v>
      </c>
      <c r="B111" s="107" t="s">
        <v>121</v>
      </c>
      <c r="C111" s="107" t="str">
        <f>VLOOKUP(A111,'[2]Sheet1 (2)'!$G:$I,3,0)</f>
        <v>UH MS BS 160x90 Pacific</v>
      </c>
      <c r="D111" s="88" t="s">
        <v>118</v>
      </c>
      <c r="E111" s="88">
        <v>919235</v>
      </c>
    </row>
    <row r="112" spans="1:7">
      <c r="A112" s="107">
        <v>60086951</v>
      </c>
      <c r="B112" s="107" t="s">
        <v>144</v>
      </c>
      <c r="C112" s="107" t="str">
        <f>VLOOKUP(A112,'[2]Sheet1 (2)'!$G:$I,3,0)</f>
        <v>UH MS BS 160x90 latte</v>
      </c>
      <c r="D112" s="88" t="s">
        <v>118</v>
      </c>
      <c r="E112" s="88">
        <v>919235</v>
      </c>
    </row>
    <row r="113" spans="1:7">
      <c r="A113" s="107">
        <v>60086952</v>
      </c>
      <c r="B113" s="107" t="s">
        <v>122</v>
      </c>
      <c r="C113" s="107" t="str">
        <f>VLOOKUP(A113,'[2]Sheet1 (2)'!$G:$I,3,0)</f>
        <v>UH MS BS 160x90 white</v>
      </c>
      <c r="D113" s="88" t="s">
        <v>118</v>
      </c>
      <c r="E113" s="88">
        <v>919235</v>
      </c>
      <c r="G113" s="96"/>
    </row>
    <row r="114" spans="1:7">
      <c r="A114" s="107">
        <v>60086953</v>
      </c>
      <c r="B114" s="107" t="s">
        <v>123</v>
      </c>
      <c r="C114" s="107" t="str">
        <f>VLOOKUP(A114,'[2]Sheet1 (2)'!$G:$I,3,0)</f>
        <v>UH MS BS 160x90 navy</v>
      </c>
      <c r="D114" s="88" t="s">
        <v>118</v>
      </c>
      <c r="E114" s="88">
        <v>919235</v>
      </c>
      <c r="G114" s="96"/>
    </row>
    <row r="115" spans="1:7">
      <c r="A115" s="107">
        <v>60086954</v>
      </c>
      <c r="B115" s="107" t="s">
        <v>124</v>
      </c>
      <c r="C115" s="107" t="str">
        <f>VLOOKUP(A115,'[2]Sheet1 (2)'!$G:$I,3,0)</f>
        <v>UH MS BS 160x90 oyster</v>
      </c>
      <c r="D115" s="88" t="s">
        <v>118</v>
      </c>
      <c r="E115" s="88">
        <v>919235</v>
      </c>
      <c r="G115" s="96"/>
    </row>
    <row r="116" spans="1:7">
      <c r="A116" s="107">
        <v>60086955</v>
      </c>
      <c r="B116" s="107" t="s">
        <v>125</v>
      </c>
      <c r="C116" s="107" t="str">
        <f>VLOOKUP(A116,'[2]Sheet1 (2)'!$G:$I,3,0)</f>
        <v>UH MS BS 160x90 clover</v>
      </c>
      <c r="D116" s="88" t="s">
        <v>118</v>
      </c>
      <c r="E116" s="88">
        <v>919235</v>
      </c>
      <c r="G116" s="96"/>
    </row>
    <row r="117" spans="1:7">
      <c r="A117" s="107">
        <v>60086956</v>
      </c>
      <c r="B117" s="107" t="s">
        <v>145</v>
      </c>
      <c r="C117" s="107" t="str">
        <f>VLOOKUP(A117,'[2]Sheet1 (2)'!$G:$I,3,0)</f>
        <v>UH MS BS 160x90 dove grey</v>
      </c>
      <c r="D117" s="88" t="s">
        <v>118</v>
      </c>
      <c r="E117" s="88">
        <v>919235</v>
      </c>
    </row>
    <row r="118" spans="1:7">
      <c r="A118" s="107">
        <v>60087003</v>
      </c>
      <c r="B118" s="107" t="s">
        <v>146</v>
      </c>
      <c r="C118" s="107" t="str">
        <f>VLOOKUP(A118,'[2]Sheet1 (2)'!$G:$I,3,0)</f>
        <v>UH MS XL BS 180x100 white</v>
      </c>
      <c r="D118" s="88" t="s">
        <v>127</v>
      </c>
      <c r="E118" s="88">
        <v>919237</v>
      </c>
    </row>
    <row r="119" spans="1:7">
      <c r="A119" s="107">
        <v>60087004</v>
      </c>
      <c r="B119" s="107" t="s">
        <v>126</v>
      </c>
      <c r="C119" s="107" t="str">
        <f>VLOOKUP(A119,'[2]Sheet1 (2)'!$G:$I,3,0)</f>
        <v>UH MS XLBS 180x100 dove grey</v>
      </c>
      <c r="D119" s="88" t="s">
        <v>127</v>
      </c>
      <c r="E119" s="88">
        <v>919237</v>
      </c>
    </row>
    <row r="120" spans="1:7">
      <c r="A120" s="107">
        <v>60086501</v>
      </c>
      <c r="B120" s="107" t="s">
        <v>128</v>
      </c>
      <c r="C120" s="107" t="str">
        <f>VLOOKUP(A120,'[2]Sheet1 (2)'!$G:$I,3,0)</f>
        <v>UH MS 30x30 FCx2 olive</v>
      </c>
      <c r="D120" s="88" t="s">
        <v>129</v>
      </c>
      <c r="E120" s="88">
        <v>919234</v>
      </c>
    </row>
    <row r="121" spans="1:7">
      <c r="A121" s="107">
        <v>60086510</v>
      </c>
      <c r="B121" s="107" t="s">
        <v>130</v>
      </c>
      <c r="C121" s="107" t="str">
        <f>VLOOKUP(A121,'[2]Sheet1 (2)'!$G:$I,3,0)</f>
        <v>UH MS 30x30 FCx2 clover</v>
      </c>
      <c r="D121" s="88" t="s">
        <v>129</v>
      </c>
      <c r="E121" s="88">
        <v>919234</v>
      </c>
    </row>
    <row r="122" spans="1:7">
      <c r="A122" s="107">
        <v>60086509</v>
      </c>
      <c r="B122" s="107" t="s">
        <v>131</v>
      </c>
      <c r="C122" s="107" t="str">
        <f>VLOOKUP(A122,'[2]Sheet1 (2)'!$G:$I,3,0)</f>
        <v>UH MS 30x30 FCx2 latte</v>
      </c>
      <c r="D122" s="88" t="s">
        <v>129</v>
      </c>
      <c r="E122" s="88">
        <v>919234</v>
      </c>
    </row>
    <row r="123" spans="1:7">
      <c r="A123" s="107">
        <v>60086505</v>
      </c>
      <c r="B123" s="107" t="s">
        <v>132</v>
      </c>
      <c r="C123" s="107" t="str">
        <f>VLOOKUP(A123,'[2]Sheet1 (2)'!$G:$I,3,0)</f>
        <v>UH MS 30x30 FCx2 linen</v>
      </c>
      <c r="D123" s="88" t="s">
        <v>129</v>
      </c>
      <c r="E123" s="88">
        <v>919234</v>
      </c>
    </row>
    <row r="124" spans="1:7">
      <c r="A124" s="107">
        <v>60086507</v>
      </c>
      <c r="B124" s="107" t="s">
        <v>133</v>
      </c>
      <c r="C124" s="107" t="str">
        <f>VLOOKUP(A124,'[2]Sheet1 (2)'!$G:$I,3,0)</f>
        <v>UH MS 30x30 FCx2 navy</v>
      </c>
      <c r="D124" s="88" t="s">
        <v>129</v>
      </c>
      <c r="E124" s="88">
        <v>919234</v>
      </c>
    </row>
    <row r="125" spans="1:7">
      <c r="A125" s="107">
        <v>60086514</v>
      </c>
      <c r="B125" s="107" t="s">
        <v>134</v>
      </c>
      <c r="C125" s="107" t="str">
        <f>VLOOKUP(A125,'[2]Sheet1 (2)'!$G:$I,3,0)</f>
        <v>UH MS 30x30 FCx2 oyster</v>
      </c>
      <c r="D125" s="88" t="s">
        <v>129</v>
      </c>
      <c r="E125" s="88">
        <v>919234</v>
      </c>
    </row>
    <row r="126" spans="1:7">
      <c r="A126" s="107">
        <v>60086506</v>
      </c>
      <c r="B126" s="107" t="s">
        <v>135</v>
      </c>
      <c r="C126" s="107" t="str">
        <f>VLOOKUP(A126,'[2]Sheet1 (2)'!$G:$I,3,0)</f>
        <v>UH MS 30x30 FCx2 Pacific</v>
      </c>
      <c r="D126" s="88" t="s">
        <v>129</v>
      </c>
      <c r="E126" s="88">
        <v>919234</v>
      </c>
    </row>
    <row r="127" spans="1:7">
      <c r="A127" s="107">
        <v>60086503</v>
      </c>
      <c r="B127" s="107" t="s">
        <v>136</v>
      </c>
      <c r="C127" s="107" t="str">
        <f>VLOOKUP(A127,'[2]Sheet1 (2)'!$G:$I,3,0)</f>
        <v>UH MS 30x30 FCx2 p pacific</v>
      </c>
      <c r="D127" s="88" t="s">
        <v>129</v>
      </c>
      <c r="E127" s="88">
        <v>919234</v>
      </c>
    </row>
    <row r="128" spans="1:7">
      <c r="A128" s="107">
        <v>60086502</v>
      </c>
      <c r="B128" s="107" t="s">
        <v>137</v>
      </c>
      <c r="C128" s="107" t="str">
        <f>VLOOKUP(A128,'[2]Sheet1 (2)'!$G:$I,3,0)</f>
        <v>UH MS 30x30 FCx2 pale pink</v>
      </c>
      <c r="D128" s="88" t="s">
        <v>129</v>
      </c>
      <c r="E128" s="88">
        <v>919234</v>
      </c>
    </row>
    <row r="129" spans="1:6">
      <c r="A129" s="107">
        <v>60086511</v>
      </c>
      <c r="B129" s="107" t="s">
        <v>138</v>
      </c>
      <c r="C129" s="107" t="str">
        <f>VLOOKUP(A129,'[2]Sheet1 (2)'!$G:$I,3,0)</f>
        <v>UH MS 30x30 FCx2 white</v>
      </c>
      <c r="D129" s="88" t="s">
        <v>129</v>
      </c>
      <c r="E129" s="88">
        <v>919234</v>
      </c>
    </row>
    <row r="130" spans="1:6">
      <c r="A130" s="107">
        <v>60086512</v>
      </c>
      <c r="B130" s="107" t="s">
        <v>147</v>
      </c>
      <c r="C130" s="107" t="str">
        <f>VLOOKUP(A130,'[2]Sheet1 (2)'!$G:$I,3,0)</f>
        <v>UH MS 30x30 FCx2 Drk Steel</v>
      </c>
      <c r="D130" s="88" t="s">
        <v>129</v>
      </c>
      <c r="E130" s="88">
        <v>919234</v>
      </c>
    </row>
    <row r="131" spans="1:6">
      <c r="A131" s="107">
        <v>60086717</v>
      </c>
      <c r="B131" s="107" t="s">
        <v>87</v>
      </c>
      <c r="C131" s="107" t="str">
        <f>VLOOKUP(A131,'[2]Sheet1 (2)'!$G:$I,3,0)</f>
        <v>UH MS HT 90x50 Drk Steel</v>
      </c>
      <c r="D131" s="88" t="s">
        <v>88</v>
      </c>
      <c r="E131" s="88">
        <v>919236</v>
      </c>
      <c r="F131" s="88" t="s">
        <v>89</v>
      </c>
    </row>
    <row r="132" spans="1:6">
      <c r="A132" s="107">
        <v>60086819</v>
      </c>
      <c r="B132" s="107" t="s">
        <v>139</v>
      </c>
      <c r="C132" s="107" t="str">
        <f>VLOOKUP(A132,'[2]Sheet1 (2)'!$G:$I,3,0)</f>
        <v>UH MS BT 135x70 Drk Steel</v>
      </c>
      <c r="D132" s="88" t="s">
        <v>109</v>
      </c>
      <c r="E132" s="88">
        <v>919238</v>
      </c>
    </row>
    <row r="133" spans="1:6">
      <c r="A133" s="107">
        <v>60086957</v>
      </c>
      <c r="B133" s="107" t="s">
        <v>140</v>
      </c>
      <c r="C133" s="107" t="str">
        <f>VLOOKUP(A133,'[2]Sheet1 (2)'!$G:$I,3,0)</f>
        <v>UH MS BS 160x90 Drk Steel</v>
      </c>
      <c r="D133" s="88" t="s">
        <v>118</v>
      </c>
      <c r="E133" s="88">
        <v>919235</v>
      </c>
    </row>
    <row r="134" spans="1:6">
      <c r="A134" s="107">
        <v>60086705</v>
      </c>
      <c r="B134" s="107" t="s">
        <v>90</v>
      </c>
      <c r="C134" s="107" t="str">
        <f>VLOOKUP(A134,'[2]Sheet1 (2)'!$G:$I,3,0)</f>
        <v>UH MS HT 90x50 pale pacific</v>
      </c>
      <c r="D134" s="88" t="s">
        <v>88</v>
      </c>
      <c r="E134" s="88">
        <v>919236</v>
      </c>
      <c r="F134" s="88" t="s">
        <v>91</v>
      </c>
    </row>
    <row r="135" spans="1:6">
      <c r="A135" s="107">
        <v>60086707</v>
      </c>
      <c r="B135" s="107" t="s">
        <v>92</v>
      </c>
      <c r="C135" s="107" t="str">
        <f>VLOOKUP(A135,'[2]Sheet1 (2)'!$G:$I,3,0)</f>
        <v>UH MS HT 90x50 olive</v>
      </c>
      <c r="D135" s="88" t="s">
        <v>88</v>
      </c>
      <c r="E135" s="88">
        <v>919236</v>
      </c>
      <c r="F135" s="88" t="s">
        <v>93</v>
      </c>
    </row>
    <row r="136" spans="1:6">
      <c r="A136" s="107">
        <v>60086709</v>
      </c>
      <c r="B136" s="107" t="s">
        <v>94</v>
      </c>
      <c r="C136" s="107" t="str">
        <f>VLOOKUP(A136,'[2]Sheet1 (2)'!$G:$I,3,0)</f>
        <v>UH MS HT 90x50 pale pink</v>
      </c>
      <c r="D136" s="88" t="s">
        <v>88</v>
      </c>
      <c r="E136" s="88">
        <v>919236</v>
      </c>
      <c r="F136" s="88" t="s">
        <v>95</v>
      </c>
    </row>
    <row r="137" spans="1:6">
      <c r="A137" s="107">
        <v>60086711</v>
      </c>
      <c r="B137" s="107" t="s">
        <v>96</v>
      </c>
      <c r="C137" s="107" t="str">
        <f>VLOOKUP(A137,'[2]Sheet1 (2)'!$G:$I,3,0)</f>
        <v>UH MS  HT 90x50 latte</v>
      </c>
      <c r="D137" s="88" t="s">
        <v>88</v>
      </c>
      <c r="E137" s="88">
        <v>919236</v>
      </c>
      <c r="F137" s="88" t="s">
        <v>97</v>
      </c>
    </row>
    <row r="138" spans="1:6">
      <c r="A138" s="107">
        <v>60086712</v>
      </c>
      <c r="B138" s="107" t="s">
        <v>98</v>
      </c>
      <c r="C138" s="107" t="str">
        <f>VLOOKUP(A138,'[2]Sheet1 (2)'!$G:$I,3,0)</f>
        <v>UH MS HT 90x50 Pacific</v>
      </c>
      <c r="D138" s="88" t="s">
        <v>88</v>
      </c>
      <c r="E138" s="88">
        <v>919236</v>
      </c>
      <c r="F138" s="88" t="s">
        <v>99</v>
      </c>
    </row>
    <row r="139" spans="1:6">
      <c r="A139" s="107">
        <v>60086718</v>
      </c>
      <c r="B139" s="107" t="s">
        <v>100</v>
      </c>
      <c r="C139" s="107" t="str">
        <f>VLOOKUP(A139,'[2]Sheet1 (2)'!$G:$I,3,0)</f>
        <v>UH MS  HT 90x50 white</v>
      </c>
      <c r="D139" s="88" t="s">
        <v>88</v>
      </c>
      <c r="E139" s="88">
        <v>919236</v>
      </c>
      <c r="F139" s="88" t="s">
        <v>101</v>
      </c>
    </row>
    <row r="140" spans="1:6">
      <c r="A140" s="107">
        <v>60086713</v>
      </c>
      <c r="B140" s="107" t="s">
        <v>102</v>
      </c>
      <c r="C140" s="107" t="str">
        <f>VLOOKUP(A140,'[2]Sheet1 (2)'!$G:$I,3,0)</f>
        <v>UH MS  HT 90x50 navy</v>
      </c>
      <c r="D140" s="88" t="s">
        <v>88</v>
      </c>
      <c r="E140" s="88">
        <v>919236</v>
      </c>
      <c r="F140" s="88" t="s">
        <v>103</v>
      </c>
    </row>
    <row r="141" spans="1:6">
      <c r="A141" s="107">
        <v>60086719</v>
      </c>
      <c r="B141" s="107" t="s">
        <v>104</v>
      </c>
      <c r="C141" s="107" t="str">
        <f>VLOOKUP(A141,'[2]Sheet1 (2)'!$G:$I,3,0)</f>
        <v>UH MS  HT 90x50 oyster</v>
      </c>
      <c r="D141" s="88" t="s">
        <v>88</v>
      </c>
      <c r="E141" s="88">
        <v>919236</v>
      </c>
      <c r="F141" s="88" t="s">
        <v>105</v>
      </c>
    </row>
    <row r="142" spans="1:6">
      <c r="A142" s="107">
        <v>60086714</v>
      </c>
      <c r="B142" s="107" t="s">
        <v>106</v>
      </c>
      <c r="C142" s="107" t="str">
        <f>VLOOKUP(A142,'[2]Sheet1 (2)'!$G:$I,3,0)</f>
        <v>UH MS  HT 90x50 clover</v>
      </c>
      <c r="D142" s="88" t="s">
        <v>88</v>
      </c>
      <c r="E142" s="88">
        <v>919236</v>
      </c>
      <c r="F142" s="88" t="s">
        <v>107</v>
      </c>
    </row>
    <row r="143" spans="1:6">
      <c r="A143" s="107">
        <v>60086805</v>
      </c>
      <c r="B143" s="107" t="s">
        <v>108</v>
      </c>
      <c r="C143" s="107" t="str">
        <f>VLOOKUP(A143,'[2]Sheet1 (2)'!$G:$I,3,0)</f>
        <v>UH MS BT 135x70 pale pacific</v>
      </c>
      <c r="D143" s="88" t="s">
        <v>109</v>
      </c>
      <c r="E143" s="88">
        <v>919238</v>
      </c>
    </row>
    <row r="144" spans="1:6">
      <c r="A144" s="107">
        <v>60086806</v>
      </c>
      <c r="B144" s="107" t="s">
        <v>110</v>
      </c>
      <c r="C144" s="107" t="str">
        <f>VLOOKUP(A144,'[2]Sheet1 (2)'!$G:$I,3,0)</f>
        <v>UH MS BT 135x70 olive</v>
      </c>
      <c r="D144" s="88" t="s">
        <v>109</v>
      </c>
      <c r="E144" s="88">
        <v>919238</v>
      </c>
    </row>
    <row r="145" spans="1:5">
      <c r="A145" s="107">
        <v>60086809</v>
      </c>
      <c r="B145" s="107" t="s">
        <v>111</v>
      </c>
      <c r="C145" s="107" t="str">
        <f>VLOOKUP(A145,'[2]Sheet1 (2)'!$G:$I,3,0)</f>
        <v>UH MS BT 135x70 pale pink</v>
      </c>
      <c r="D145" s="88" t="s">
        <v>109</v>
      </c>
      <c r="E145" s="88">
        <v>919238</v>
      </c>
    </row>
    <row r="146" spans="1:5">
      <c r="A146" s="107">
        <v>60086810</v>
      </c>
      <c r="B146" s="107" t="s">
        <v>148</v>
      </c>
      <c r="C146" s="107" t="str">
        <f>VLOOKUP(A146,'[2]Sheet1 (2)'!$G:$I,3,0)</f>
        <v>UH MS BT 135x70 linen</v>
      </c>
      <c r="D146" s="88" t="s">
        <v>109</v>
      </c>
      <c r="E146" s="88">
        <v>919238</v>
      </c>
    </row>
    <row r="147" spans="1:5">
      <c r="A147" s="107">
        <v>60086811</v>
      </c>
      <c r="B147" s="107" t="s">
        <v>112</v>
      </c>
      <c r="C147" s="107" t="str">
        <f>VLOOKUP(A147,'[2]Sheet1 (2)'!$G:$I,3,0)</f>
        <v>UH MS BT 135x70 latte</v>
      </c>
      <c r="D147" s="88" t="s">
        <v>109</v>
      </c>
      <c r="E147" s="88">
        <v>919238</v>
      </c>
    </row>
    <row r="148" spans="1:5">
      <c r="A148" s="107">
        <v>60086812</v>
      </c>
      <c r="B148" s="107" t="s">
        <v>113</v>
      </c>
      <c r="C148" s="107" t="str">
        <f>VLOOKUP(A148,'[2]Sheet1 (2)'!$G:$I,3,0)</f>
        <v xml:space="preserve">UH MS BT 135x70 Pacific </v>
      </c>
      <c r="D148" s="88" t="s">
        <v>109</v>
      </c>
      <c r="E148" s="88">
        <v>919238</v>
      </c>
    </row>
    <row r="149" spans="1:5">
      <c r="A149" s="107">
        <v>60086813</v>
      </c>
      <c r="B149" s="107" t="s">
        <v>114</v>
      </c>
      <c r="C149" s="107" t="str">
        <f>VLOOKUP(A149,'[2]Sheet1 (2)'!$G:$I,3,0)</f>
        <v>UH MS BT 135x70 white</v>
      </c>
      <c r="D149" s="88" t="s">
        <v>109</v>
      </c>
      <c r="E149" s="88">
        <v>919238</v>
      </c>
    </row>
    <row r="150" spans="1:5">
      <c r="A150" s="107">
        <v>60086814</v>
      </c>
      <c r="B150" s="107" t="s">
        <v>115</v>
      </c>
      <c r="C150" s="107" t="str">
        <f>VLOOKUP(A150,'[2]Sheet1 (2)'!$G:$I,3,0)</f>
        <v>UH MS BT 135x70 navy</v>
      </c>
      <c r="D150" s="88" t="s">
        <v>109</v>
      </c>
      <c r="E150" s="88">
        <v>919238</v>
      </c>
    </row>
    <row r="151" spans="1:5">
      <c r="A151" s="107">
        <v>60086815</v>
      </c>
      <c r="B151" s="107" t="s">
        <v>116</v>
      </c>
      <c r="C151" s="107" t="str">
        <f>VLOOKUP(A151,'[2]Sheet1 (2)'!$G:$I,3,0)</f>
        <v>UH MS BT 135x70 oyster</v>
      </c>
      <c r="D151" s="88" t="s">
        <v>109</v>
      </c>
      <c r="E151" s="88">
        <v>919238</v>
      </c>
    </row>
    <row r="152" spans="1:5">
      <c r="A152" s="107">
        <v>60086817</v>
      </c>
      <c r="B152" s="107" t="s">
        <v>141</v>
      </c>
      <c r="C152" s="107" t="str">
        <f>VLOOKUP(A152,'[2]Sheet1 (2)'!$G:$I,3,0)</f>
        <v>UH MS BT 135x70 clover</v>
      </c>
      <c r="D152" s="88" t="s">
        <v>109</v>
      </c>
      <c r="E152" s="88">
        <v>919238</v>
      </c>
    </row>
    <row r="153" spans="1:5">
      <c r="A153" s="107">
        <v>60086818</v>
      </c>
      <c r="B153" s="107" t="s">
        <v>142</v>
      </c>
      <c r="C153" s="107" t="str">
        <f>VLOOKUP(A153,'[2]Sheet1 (2)'!$G:$I,3,0)</f>
        <v>UH MS BT 135x70 dove grey</v>
      </c>
      <c r="D153" s="88" t="s">
        <v>109</v>
      </c>
      <c r="E153" s="88">
        <v>919238</v>
      </c>
    </row>
    <row r="154" spans="1:5">
      <c r="A154" s="107">
        <v>60086905</v>
      </c>
      <c r="B154" s="107" t="s">
        <v>117</v>
      </c>
      <c r="C154" s="107" t="str">
        <f>VLOOKUP(A154,'[2]Sheet1 (2)'!$G:$I,3,0)</f>
        <v>UH MS BS 160x90 pale pacific</v>
      </c>
      <c r="D154" s="88" t="s">
        <v>118</v>
      </c>
      <c r="E154" s="88">
        <v>919235</v>
      </c>
    </row>
    <row r="155" spans="1:5">
      <c r="A155" s="107">
        <v>60086906</v>
      </c>
      <c r="B155" s="107" t="s">
        <v>119</v>
      </c>
      <c r="C155" s="107" t="str">
        <f>VLOOKUP(A155,'[2]Sheet1 (2)'!$G:$I,3,0)</f>
        <v>UH MS BS 160x90 olive</v>
      </c>
      <c r="D155" s="88" t="s">
        <v>118</v>
      </c>
      <c r="E155" s="88">
        <v>919235</v>
      </c>
    </row>
    <row r="156" spans="1:5">
      <c r="A156" s="107">
        <v>60086949</v>
      </c>
      <c r="B156" s="107" t="s">
        <v>120</v>
      </c>
      <c r="C156" s="107" t="str">
        <f>VLOOKUP(A156,'[2]Sheet1 (2)'!$G:$I,3,0)</f>
        <v>UH MS BS 160x90 pale pink</v>
      </c>
      <c r="D156" s="88" t="s">
        <v>118</v>
      </c>
      <c r="E156" s="88">
        <v>919235</v>
      </c>
    </row>
    <row r="157" spans="1:5">
      <c r="A157" s="107">
        <v>60086958</v>
      </c>
      <c r="B157" s="107" t="s">
        <v>143</v>
      </c>
      <c r="C157" s="107" t="str">
        <f>VLOOKUP(A157,'[2]Sheet1 (2)'!$G:$I,3,0)</f>
        <v>UH MS BS 160x90 linen</v>
      </c>
      <c r="D157" s="88" t="s">
        <v>118</v>
      </c>
      <c r="E157" s="88">
        <v>919235</v>
      </c>
    </row>
    <row r="158" spans="1:5">
      <c r="A158" s="107">
        <v>60086950</v>
      </c>
      <c r="B158" s="107" t="s">
        <v>121</v>
      </c>
      <c r="C158" s="107" t="str">
        <f>VLOOKUP(A158,'[2]Sheet1 (2)'!$G:$I,3,0)</f>
        <v>UH MS BS 160x90 Pacific</v>
      </c>
      <c r="D158" s="88" t="s">
        <v>118</v>
      </c>
      <c r="E158" s="88">
        <v>919235</v>
      </c>
    </row>
    <row r="159" spans="1:5">
      <c r="A159" s="107">
        <v>60086951</v>
      </c>
      <c r="B159" s="107" t="s">
        <v>144</v>
      </c>
      <c r="C159" s="107" t="str">
        <f>VLOOKUP(A159,'[2]Sheet1 (2)'!$G:$I,3,0)</f>
        <v>UH MS BS 160x90 latte</v>
      </c>
      <c r="D159" s="88" t="s">
        <v>118</v>
      </c>
      <c r="E159" s="88">
        <v>919235</v>
      </c>
    </row>
    <row r="160" spans="1:5">
      <c r="A160" s="107">
        <v>60086952</v>
      </c>
      <c r="B160" s="107" t="s">
        <v>122</v>
      </c>
      <c r="C160" s="107" t="str">
        <f>VLOOKUP(A160,'[2]Sheet1 (2)'!$G:$I,3,0)</f>
        <v>UH MS BS 160x90 white</v>
      </c>
      <c r="D160" s="88" t="s">
        <v>118</v>
      </c>
      <c r="E160" s="88">
        <v>919235</v>
      </c>
    </row>
    <row r="161" spans="1:5">
      <c r="A161" s="107">
        <v>60086953</v>
      </c>
      <c r="B161" s="107" t="s">
        <v>123</v>
      </c>
      <c r="C161" s="107" t="str">
        <f>VLOOKUP(A161,'[2]Sheet1 (2)'!$G:$I,3,0)</f>
        <v>UH MS BS 160x90 navy</v>
      </c>
      <c r="D161" s="88" t="s">
        <v>118</v>
      </c>
      <c r="E161" s="88">
        <v>919235</v>
      </c>
    </row>
    <row r="162" spans="1:5">
      <c r="A162" s="107">
        <v>60086954</v>
      </c>
      <c r="B162" s="107" t="s">
        <v>124</v>
      </c>
      <c r="C162" s="107" t="str">
        <f>VLOOKUP(A162,'[2]Sheet1 (2)'!$G:$I,3,0)</f>
        <v>UH MS BS 160x90 oyster</v>
      </c>
      <c r="D162" s="88" t="s">
        <v>118</v>
      </c>
      <c r="E162" s="88">
        <v>919235</v>
      </c>
    </row>
    <row r="163" spans="1:5">
      <c r="A163" s="107">
        <v>60086955</v>
      </c>
      <c r="B163" s="107" t="s">
        <v>125</v>
      </c>
      <c r="C163" s="107" t="str">
        <f>VLOOKUP(A163,'[2]Sheet1 (2)'!$G:$I,3,0)</f>
        <v>UH MS BS 160x90 clover</v>
      </c>
      <c r="D163" s="88" t="s">
        <v>118</v>
      </c>
      <c r="E163" s="88">
        <v>919235</v>
      </c>
    </row>
    <row r="164" spans="1:5">
      <c r="A164" s="107">
        <v>60086956</v>
      </c>
      <c r="B164" s="107" t="s">
        <v>145</v>
      </c>
      <c r="C164" s="107" t="str">
        <f>VLOOKUP(A164,'[2]Sheet1 (2)'!$G:$I,3,0)</f>
        <v>UH MS BS 160x90 dove grey</v>
      </c>
      <c r="D164" s="88" t="s">
        <v>118</v>
      </c>
      <c r="E164" s="88">
        <v>919235</v>
      </c>
    </row>
    <row r="165" spans="1:5">
      <c r="A165" s="107">
        <v>60087003</v>
      </c>
      <c r="B165" s="107" t="s">
        <v>146</v>
      </c>
      <c r="C165" s="107" t="str">
        <f>VLOOKUP(A165,'[2]Sheet1 (2)'!$G:$I,3,0)</f>
        <v>UH MS XL BS 180x100 white</v>
      </c>
      <c r="D165" s="88" t="s">
        <v>127</v>
      </c>
      <c r="E165" s="88">
        <v>919237</v>
      </c>
    </row>
    <row r="166" spans="1:5">
      <c r="A166" s="107">
        <v>60087004</v>
      </c>
      <c r="B166" s="107" t="s">
        <v>126</v>
      </c>
      <c r="C166" s="107" t="str">
        <f>VLOOKUP(A166,'[2]Sheet1 (2)'!$G:$I,3,0)</f>
        <v>UH MS XLBS 180x100 dove grey</v>
      </c>
      <c r="D166" s="88" t="s">
        <v>127</v>
      </c>
      <c r="E166" s="88">
        <v>919237</v>
      </c>
    </row>
    <row r="167" spans="1:5">
      <c r="A167" s="107">
        <v>60086501</v>
      </c>
      <c r="B167" s="107" t="s">
        <v>128</v>
      </c>
      <c r="C167" s="107" t="str">
        <f>VLOOKUP(A167,'[2]Sheet1 (2)'!$G:$I,3,0)</f>
        <v>UH MS 30x30 FCx2 olive</v>
      </c>
      <c r="D167" s="88" t="s">
        <v>129</v>
      </c>
      <c r="E167" s="88">
        <v>919234</v>
      </c>
    </row>
    <row r="168" spans="1:5">
      <c r="A168" s="107">
        <v>60086510</v>
      </c>
      <c r="B168" s="107" t="s">
        <v>130</v>
      </c>
      <c r="C168" s="107" t="str">
        <f>VLOOKUP(A168,'[2]Sheet1 (2)'!$G:$I,3,0)</f>
        <v>UH MS 30x30 FCx2 clover</v>
      </c>
      <c r="D168" s="88" t="s">
        <v>129</v>
      </c>
      <c r="E168" s="88">
        <v>919234</v>
      </c>
    </row>
    <row r="169" spans="1:5">
      <c r="A169" s="107">
        <v>60086509</v>
      </c>
      <c r="B169" s="107" t="s">
        <v>131</v>
      </c>
      <c r="C169" s="107" t="str">
        <f>VLOOKUP(A169,'[2]Sheet1 (2)'!$G:$I,3,0)</f>
        <v>UH MS 30x30 FCx2 latte</v>
      </c>
      <c r="D169" s="88" t="s">
        <v>129</v>
      </c>
      <c r="E169" s="88">
        <v>919234</v>
      </c>
    </row>
    <row r="170" spans="1:5">
      <c r="A170" s="107">
        <v>60086505</v>
      </c>
      <c r="B170" s="107" t="s">
        <v>132</v>
      </c>
      <c r="C170" s="107" t="str">
        <f>VLOOKUP(A170,'[2]Sheet1 (2)'!$G:$I,3,0)</f>
        <v>UH MS 30x30 FCx2 linen</v>
      </c>
      <c r="D170" s="88" t="s">
        <v>129</v>
      </c>
      <c r="E170" s="88">
        <v>919234</v>
      </c>
    </row>
    <row r="171" spans="1:5">
      <c r="A171" s="107">
        <v>60086507</v>
      </c>
      <c r="B171" s="107" t="s">
        <v>133</v>
      </c>
      <c r="C171" s="107" t="str">
        <f>VLOOKUP(A171,'[2]Sheet1 (2)'!$G:$I,3,0)</f>
        <v>UH MS 30x30 FCx2 navy</v>
      </c>
      <c r="D171" s="88" t="s">
        <v>129</v>
      </c>
      <c r="E171" s="88">
        <v>919234</v>
      </c>
    </row>
    <row r="172" spans="1:5">
      <c r="A172" s="107">
        <v>60086514</v>
      </c>
      <c r="B172" s="107" t="s">
        <v>134</v>
      </c>
      <c r="C172" s="107" t="str">
        <f>VLOOKUP(A172,'[2]Sheet1 (2)'!$G:$I,3,0)</f>
        <v>UH MS 30x30 FCx2 oyster</v>
      </c>
      <c r="D172" s="88" t="s">
        <v>129</v>
      </c>
      <c r="E172" s="88">
        <v>919234</v>
      </c>
    </row>
    <row r="173" spans="1:5">
      <c r="A173" s="107">
        <v>60086506</v>
      </c>
      <c r="B173" s="107" t="s">
        <v>135</v>
      </c>
      <c r="C173" s="107" t="str">
        <f>VLOOKUP(A173,'[2]Sheet1 (2)'!$G:$I,3,0)</f>
        <v>UH MS 30x30 FCx2 Pacific</v>
      </c>
      <c r="D173" s="88" t="s">
        <v>129</v>
      </c>
      <c r="E173" s="88">
        <v>919234</v>
      </c>
    </row>
    <row r="174" spans="1:5">
      <c r="A174" s="107">
        <v>60086503</v>
      </c>
      <c r="B174" s="107" t="s">
        <v>136</v>
      </c>
      <c r="C174" s="107" t="str">
        <f>VLOOKUP(A174,'[2]Sheet1 (2)'!$G:$I,3,0)</f>
        <v>UH MS 30x30 FCx2 p pacific</v>
      </c>
      <c r="D174" s="88" t="s">
        <v>129</v>
      </c>
      <c r="E174" s="88">
        <v>919234</v>
      </c>
    </row>
    <row r="175" spans="1:5">
      <c r="A175" s="107">
        <v>60086502</v>
      </c>
      <c r="B175" s="107" t="s">
        <v>137</v>
      </c>
      <c r="C175" s="107" t="str">
        <f>VLOOKUP(A175,'[2]Sheet1 (2)'!$G:$I,3,0)</f>
        <v>UH MS 30x30 FCx2 pale pink</v>
      </c>
      <c r="D175" s="88" t="s">
        <v>129</v>
      </c>
      <c r="E175" s="88">
        <v>919234</v>
      </c>
    </row>
    <row r="176" spans="1:5">
      <c r="A176" s="107">
        <v>60086511</v>
      </c>
      <c r="B176" s="107" t="s">
        <v>138</v>
      </c>
      <c r="C176" s="107" t="str">
        <f>VLOOKUP(A176,'[2]Sheet1 (2)'!$G:$I,3,0)</f>
        <v>UH MS 30x30 FCx2 white</v>
      </c>
      <c r="D176" s="88" t="s">
        <v>129</v>
      </c>
      <c r="E176" s="88">
        <v>919234</v>
      </c>
    </row>
    <row r="177" spans="1:6">
      <c r="A177" s="108">
        <v>60086508</v>
      </c>
      <c r="B177" s="108" t="s">
        <v>149</v>
      </c>
      <c r="C177" s="107" t="str">
        <f>VLOOKUP(A177,'[2]Sheet1 (2)'!$G:$I,3,0)</f>
        <v>UH MS 30x30 FCx2 dove grey</v>
      </c>
      <c r="D177" s="88" t="s">
        <v>129</v>
      </c>
      <c r="E177" s="88">
        <v>919234</v>
      </c>
    </row>
    <row r="178" spans="1:6">
      <c r="A178" s="108">
        <v>60086716</v>
      </c>
      <c r="B178" s="108" t="s">
        <v>150</v>
      </c>
      <c r="C178" s="107" t="str">
        <f>VLOOKUP(A178,'[2]Sheet1 (2)'!$G:$I,3,0)</f>
        <v>UH MS  HT 90x50 dove grey</v>
      </c>
      <c r="D178" s="88" t="s">
        <v>88</v>
      </c>
      <c r="E178" s="88">
        <v>919236</v>
      </c>
      <c r="F178" s="88" t="s">
        <v>151</v>
      </c>
    </row>
    <row r="179" spans="1:6">
      <c r="A179" s="108">
        <v>60086508</v>
      </c>
      <c r="B179" s="108" t="s">
        <v>149</v>
      </c>
      <c r="C179" s="107" t="str">
        <f>VLOOKUP(A179,'[2]Sheet1 (2)'!$G:$I,3,0)</f>
        <v>UH MS 30x30 FCx2 dove grey</v>
      </c>
      <c r="D179" s="88" t="s">
        <v>129</v>
      </c>
      <c r="E179" s="88">
        <v>919234</v>
      </c>
    </row>
    <row r="180" spans="1:6">
      <c r="A180" s="108">
        <v>60086716</v>
      </c>
      <c r="B180" s="108" t="s">
        <v>150</v>
      </c>
      <c r="C180" s="107" t="str">
        <f>VLOOKUP(A180,'[2]Sheet1 (2)'!$G:$I,3,0)</f>
        <v>UH MS  HT 90x50 dove grey</v>
      </c>
      <c r="D180" s="88" t="s">
        <v>88</v>
      </c>
      <c r="E180" s="88">
        <v>919236</v>
      </c>
      <c r="F180" s="88" t="s">
        <v>151</v>
      </c>
    </row>
    <row r="181" spans="1:6">
      <c r="A181" s="108">
        <v>60086508</v>
      </c>
      <c r="B181" s="108" t="s">
        <v>149</v>
      </c>
      <c r="C181" s="107" t="str">
        <f>VLOOKUP(A181,'[2]Sheet1 (2)'!$G:$I,3,0)</f>
        <v>UH MS 30x30 FCx2 dove grey</v>
      </c>
      <c r="D181" s="88" t="s">
        <v>129</v>
      </c>
      <c r="E181" s="88">
        <v>919234</v>
      </c>
    </row>
    <row r="182" spans="1:6">
      <c r="A182" s="108">
        <v>60086716</v>
      </c>
      <c r="B182" s="108" t="s">
        <v>150</v>
      </c>
      <c r="C182" s="107" t="str">
        <f>VLOOKUP(A182,'[2]Sheet1 (2)'!$G:$I,3,0)</f>
        <v>UH MS  HT 90x50 dove grey</v>
      </c>
      <c r="D182" s="88" t="s">
        <v>88</v>
      </c>
      <c r="E182" s="88">
        <v>919236</v>
      </c>
      <c r="F182" s="88" t="s">
        <v>151</v>
      </c>
    </row>
    <row r="183" spans="1:6">
      <c r="A183" s="108">
        <v>60086508</v>
      </c>
      <c r="B183" s="108" t="s">
        <v>149</v>
      </c>
      <c r="C183" s="107" t="str">
        <f>VLOOKUP(A183,'[2]Sheet1 (2)'!$G:$I,3,0)</f>
        <v>UH MS 30x30 FCx2 dove grey</v>
      </c>
      <c r="D183" s="88" t="s">
        <v>129</v>
      </c>
      <c r="E183" s="88">
        <v>919234</v>
      </c>
    </row>
    <row r="184" spans="1:6">
      <c r="A184" s="108">
        <v>60086716</v>
      </c>
      <c r="B184" s="108" t="s">
        <v>150</v>
      </c>
      <c r="C184" s="107" t="str">
        <f>VLOOKUP(A184,'[2]Sheet1 (2)'!$G:$I,3,0)</f>
        <v>UH MS  HT 90x50 dove grey</v>
      </c>
      <c r="D184" s="88" t="s">
        <v>88</v>
      </c>
      <c r="E184" s="88">
        <v>919236</v>
      </c>
      <c r="F184" s="88" t="s">
        <v>151</v>
      </c>
    </row>
  </sheetData>
  <autoFilter ref="A1:M184" xr:uid="{00000000-0009-0000-0000-000002000000}"/>
  <conditionalFormatting sqref="A2:A28">
    <cfRule type="duplicateValues" dxfId="0" priority="1"/>
  </conditionalFormatting>
  <pageMargins left="0.7" right="0.7" top="0.75" bottom="0.75" header="0.3" footer="0.3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 filterMode="1"/>
  <dimension ref="A1:N118"/>
  <sheetViews>
    <sheetView topLeftCell="A2" workbookViewId="0">
      <selection activeCell="G13" sqref="G13"/>
    </sheetView>
  </sheetViews>
  <sheetFormatPr defaultRowHeight="14.4"/>
  <cols>
    <col min="1" max="1" width="10.33203125" bestFit="1" customWidth="1"/>
    <col min="2" max="2" width="10" bestFit="1" customWidth="1"/>
    <col min="3" max="3" width="10.88671875" bestFit="1" customWidth="1"/>
    <col min="4" max="4" width="16" bestFit="1" customWidth="1"/>
    <col min="5" max="5" width="11.44140625" bestFit="1" customWidth="1"/>
    <col min="6" max="6" width="9.33203125" bestFit="1" customWidth="1"/>
    <col min="7" max="7" width="15.88671875" bestFit="1" customWidth="1"/>
    <col min="8" max="8" width="16.109375" bestFit="1" customWidth="1"/>
    <col min="9" max="9" width="8.5546875" bestFit="1" customWidth="1"/>
    <col min="10" max="10" width="20.5546875" bestFit="1" customWidth="1"/>
    <col min="11" max="11" width="8.5546875" bestFit="1" customWidth="1"/>
    <col min="12" max="12" width="8.88671875" bestFit="1" customWidth="1"/>
    <col min="13" max="13" width="4" bestFit="1" customWidth="1"/>
    <col min="14" max="14" width="5.33203125" bestFit="1" customWidth="1"/>
  </cols>
  <sheetData>
    <row r="1" spans="1:14" ht="17.399999999999999" customHeight="1" thickBot="1">
      <c r="A1" s="109"/>
      <c r="B1" s="110"/>
      <c r="C1" s="110"/>
      <c r="D1" s="110"/>
      <c r="E1" s="110"/>
      <c r="F1" s="110"/>
      <c r="G1" s="110"/>
      <c r="H1" s="111">
        <v>2120</v>
      </c>
      <c r="I1" s="110"/>
      <c r="J1" s="180">
        <v>2220</v>
      </c>
      <c r="K1" s="181"/>
      <c r="L1" s="110"/>
      <c r="M1" s="110"/>
      <c r="N1" s="110"/>
    </row>
    <row r="2" spans="1:14" ht="15" customHeight="1" thickBot="1">
      <c r="A2" s="112" t="s">
        <v>152</v>
      </c>
      <c r="B2" s="113" t="s">
        <v>153</v>
      </c>
      <c r="C2" s="113" t="s">
        <v>154</v>
      </c>
      <c r="D2" s="113" t="s">
        <v>155</v>
      </c>
      <c r="E2" s="113" t="s">
        <v>156</v>
      </c>
      <c r="F2" s="113" t="s">
        <v>157</v>
      </c>
      <c r="G2" s="113" t="s">
        <v>158</v>
      </c>
      <c r="H2" s="113" t="s">
        <v>159</v>
      </c>
      <c r="I2" s="113" t="s">
        <v>160</v>
      </c>
      <c r="J2" s="113" t="s">
        <v>159</v>
      </c>
      <c r="K2" s="113" t="s">
        <v>160</v>
      </c>
      <c r="L2" s="114" t="s">
        <v>161</v>
      </c>
      <c r="M2" s="113" t="s">
        <v>162</v>
      </c>
      <c r="N2" s="113" t="s">
        <v>163</v>
      </c>
    </row>
    <row r="3" spans="1:14" ht="15" customHeight="1" thickBot="1">
      <c r="A3" s="115">
        <v>1</v>
      </c>
      <c r="B3" s="116" t="s">
        <v>164</v>
      </c>
      <c r="C3" s="116" t="s">
        <v>165</v>
      </c>
      <c r="D3" s="116">
        <v>2300037017</v>
      </c>
      <c r="E3" s="116">
        <v>3161347825</v>
      </c>
      <c r="F3" s="116" t="s">
        <v>166</v>
      </c>
      <c r="G3" s="116">
        <v>193968211967</v>
      </c>
      <c r="H3" s="117" t="s">
        <v>167</v>
      </c>
      <c r="I3" s="116">
        <v>0</v>
      </c>
      <c r="J3" s="118" t="s">
        <v>168</v>
      </c>
      <c r="K3" s="116">
        <v>280</v>
      </c>
      <c r="L3" s="116" t="s">
        <v>169</v>
      </c>
      <c r="M3" s="116">
        <v>280</v>
      </c>
      <c r="N3" s="116">
        <v>280</v>
      </c>
    </row>
    <row r="4" spans="1:14" ht="15" customHeight="1" thickBot="1">
      <c r="A4" s="115">
        <v>1</v>
      </c>
      <c r="B4" s="116" t="s">
        <v>164</v>
      </c>
      <c r="C4" s="116" t="s">
        <v>165</v>
      </c>
      <c r="D4" s="116">
        <v>2300037017</v>
      </c>
      <c r="E4" s="116">
        <v>3161347825</v>
      </c>
      <c r="F4" s="116" t="s">
        <v>170</v>
      </c>
      <c r="G4" s="116">
        <v>193968212049</v>
      </c>
      <c r="H4" s="117" t="s">
        <v>171</v>
      </c>
      <c r="I4" s="116">
        <v>0</v>
      </c>
      <c r="J4" s="118" t="s">
        <v>172</v>
      </c>
      <c r="K4" s="116">
        <v>140</v>
      </c>
      <c r="L4" s="116" t="s">
        <v>169</v>
      </c>
      <c r="M4" s="116">
        <v>140</v>
      </c>
      <c r="N4" s="116">
        <v>140</v>
      </c>
    </row>
    <row r="5" spans="1:14" ht="15" customHeight="1" thickBot="1">
      <c r="A5" s="115">
        <v>1</v>
      </c>
      <c r="B5" s="116" t="s">
        <v>164</v>
      </c>
      <c r="C5" s="116" t="s">
        <v>165</v>
      </c>
      <c r="D5" s="116">
        <v>2300037017</v>
      </c>
      <c r="E5" s="116">
        <v>3161347825</v>
      </c>
      <c r="F5" s="116" t="s">
        <v>173</v>
      </c>
      <c r="G5" s="116">
        <v>193968211929</v>
      </c>
      <c r="H5" s="117" t="s">
        <v>174</v>
      </c>
      <c r="I5" s="116">
        <v>20</v>
      </c>
      <c r="J5" s="118" t="s">
        <v>175</v>
      </c>
      <c r="K5" s="116">
        <v>220</v>
      </c>
      <c r="L5" s="116" t="s">
        <v>169</v>
      </c>
      <c r="M5" s="116">
        <v>240</v>
      </c>
      <c r="N5" s="116">
        <v>240</v>
      </c>
    </row>
    <row r="6" spans="1:14" ht="15" customHeight="1" thickBot="1">
      <c r="A6" s="115">
        <v>1</v>
      </c>
      <c r="B6" s="116" t="s">
        <v>164</v>
      </c>
      <c r="C6" s="116" t="s">
        <v>165</v>
      </c>
      <c r="D6" s="116">
        <v>2300037017</v>
      </c>
      <c r="E6" s="116">
        <v>3161347825</v>
      </c>
      <c r="F6" s="116" t="s">
        <v>166</v>
      </c>
      <c r="G6" s="116">
        <v>193968212001</v>
      </c>
      <c r="H6" s="117" t="s">
        <v>176</v>
      </c>
      <c r="I6" s="116">
        <v>21</v>
      </c>
      <c r="J6" s="118" t="s">
        <v>177</v>
      </c>
      <c r="K6" s="116">
        <v>49</v>
      </c>
      <c r="L6" s="116" t="s">
        <v>169</v>
      </c>
      <c r="M6" s="116">
        <v>70</v>
      </c>
      <c r="N6" s="116">
        <v>70</v>
      </c>
    </row>
    <row r="7" spans="1:14" ht="15" customHeight="1" thickBot="1">
      <c r="A7" s="115">
        <v>1</v>
      </c>
      <c r="B7" s="116" t="s">
        <v>164</v>
      </c>
      <c r="C7" s="116" t="s">
        <v>165</v>
      </c>
      <c r="D7" s="116">
        <v>2300037017</v>
      </c>
      <c r="E7" s="116">
        <v>3161347825</v>
      </c>
      <c r="F7" s="116" t="s">
        <v>178</v>
      </c>
      <c r="G7" s="116">
        <v>193968216313</v>
      </c>
      <c r="H7" s="117" t="s">
        <v>179</v>
      </c>
      <c r="I7" s="116">
        <v>69</v>
      </c>
      <c r="J7" s="118" t="s">
        <v>180</v>
      </c>
      <c r="K7" s="116">
        <v>21</v>
      </c>
      <c r="L7" s="116" t="s">
        <v>169</v>
      </c>
      <c r="M7" s="116">
        <v>90</v>
      </c>
      <c r="N7" s="116">
        <v>90</v>
      </c>
    </row>
    <row r="8" spans="1:14" ht="15" customHeight="1" thickBot="1">
      <c r="A8" s="115">
        <v>1</v>
      </c>
      <c r="B8" s="116" t="s">
        <v>164</v>
      </c>
      <c r="C8" s="116" t="s">
        <v>165</v>
      </c>
      <c r="D8" s="116">
        <v>2300037017</v>
      </c>
      <c r="E8" s="116">
        <v>3161347825</v>
      </c>
      <c r="F8" s="116" t="s">
        <v>173</v>
      </c>
      <c r="G8" s="116">
        <v>193968212131</v>
      </c>
      <c r="H8" s="117" t="s">
        <v>181</v>
      </c>
      <c r="I8" s="116">
        <v>0</v>
      </c>
      <c r="J8" s="118" t="s">
        <v>182</v>
      </c>
      <c r="K8" s="116">
        <v>160</v>
      </c>
      <c r="L8" s="116" t="s">
        <v>169</v>
      </c>
      <c r="M8" s="116">
        <v>160</v>
      </c>
      <c r="N8" s="116">
        <v>160</v>
      </c>
    </row>
    <row r="9" spans="1:14" ht="15" customHeight="1" thickBot="1">
      <c r="A9" s="115">
        <v>1</v>
      </c>
      <c r="B9" s="116" t="s">
        <v>164</v>
      </c>
      <c r="C9" s="116" t="s">
        <v>165</v>
      </c>
      <c r="D9" s="116">
        <v>2300037017</v>
      </c>
      <c r="E9" s="116">
        <v>3161347825</v>
      </c>
      <c r="F9" s="116" t="s">
        <v>166</v>
      </c>
      <c r="G9" s="116">
        <v>193968212148</v>
      </c>
      <c r="H9" s="117" t="s">
        <v>183</v>
      </c>
      <c r="I9" s="116">
        <v>59</v>
      </c>
      <c r="J9" s="118" t="s">
        <v>184</v>
      </c>
      <c r="K9" s="116">
        <v>81</v>
      </c>
      <c r="L9" s="116" t="s">
        <v>169</v>
      </c>
      <c r="M9" s="116">
        <v>140</v>
      </c>
      <c r="N9" s="116">
        <v>140</v>
      </c>
    </row>
    <row r="10" spans="1:14" ht="15" hidden="1" customHeight="1" thickBot="1">
      <c r="A10" s="115">
        <v>1</v>
      </c>
      <c r="B10" s="116" t="s">
        <v>164</v>
      </c>
      <c r="C10" s="116" t="s">
        <v>165</v>
      </c>
      <c r="D10" s="116">
        <v>2300037017</v>
      </c>
      <c r="E10" s="116">
        <v>3161347825</v>
      </c>
      <c r="F10" s="116" t="s">
        <v>178</v>
      </c>
      <c r="G10" s="116">
        <v>193968212117</v>
      </c>
      <c r="H10" s="117" t="s">
        <v>185</v>
      </c>
      <c r="I10" s="116">
        <v>90</v>
      </c>
      <c r="J10" s="116">
        <v>0</v>
      </c>
      <c r="K10" s="116">
        <v>0</v>
      </c>
      <c r="L10" s="116" t="s">
        <v>169</v>
      </c>
      <c r="M10" s="116">
        <v>90</v>
      </c>
      <c r="N10" s="116">
        <v>90</v>
      </c>
    </row>
    <row r="11" spans="1:14" ht="15" customHeight="1" thickBot="1">
      <c r="A11" s="115">
        <v>1</v>
      </c>
      <c r="B11" s="116" t="s">
        <v>164</v>
      </c>
      <c r="C11" s="116" t="s">
        <v>165</v>
      </c>
      <c r="D11" s="116">
        <v>2300037017</v>
      </c>
      <c r="E11" s="116">
        <v>3161347825</v>
      </c>
      <c r="F11" s="116" t="s">
        <v>173</v>
      </c>
      <c r="G11" s="116">
        <v>193968212186</v>
      </c>
      <c r="H11" s="117" t="s">
        <v>186</v>
      </c>
      <c r="I11" s="116">
        <v>0</v>
      </c>
      <c r="J11" s="118" t="s">
        <v>187</v>
      </c>
      <c r="K11" s="116">
        <v>480</v>
      </c>
      <c r="L11" s="116" t="s">
        <v>169</v>
      </c>
      <c r="M11" s="116">
        <v>480</v>
      </c>
      <c r="N11" s="116">
        <v>480</v>
      </c>
    </row>
    <row r="12" spans="1:14" ht="15" customHeight="1" thickBot="1">
      <c r="A12" s="115">
        <v>1</v>
      </c>
      <c r="B12" s="116" t="s">
        <v>164</v>
      </c>
      <c r="C12" s="116" t="s">
        <v>165</v>
      </c>
      <c r="D12" s="116">
        <v>2300037017</v>
      </c>
      <c r="E12" s="116">
        <v>3161347825</v>
      </c>
      <c r="F12" s="116" t="s">
        <v>188</v>
      </c>
      <c r="G12" s="116">
        <v>193968212179</v>
      </c>
      <c r="H12" s="117" t="s">
        <v>189</v>
      </c>
      <c r="I12" s="116">
        <v>20</v>
      </c>
      <c r="J12" s="118" t="s">
        <v>190</v>
      </c>
      <c r="K12" s="116">
        <v>180</v>
      </c>
      <c r="L12" s="116" t="s">
        <v>169</v>
      </c>
      <c r="M12" s="116">
        <v>200</v>
      </c>
      <c r="N12" s="116">
        <v>200</v>
      </c>
    </row>
    <row r="13" spans="1:14" ht="15" customHeight="1" thickBot="1">
      <c r="A13" s="115">
        <v>1</v>
      </c>
      <c r="B13" s="116" t="s">
        <v>164</v>
      </c>
      <c r="C13" s="116" t="s">
        <v>165</v>
      </c>
      <c r="D13" s="116">
        <v>2300037017</v>
      </c>
      <c r="E13" s="116">
        <v>3161347825</v>
      </c>
      <c r="F13" s="116" t="s">
        <v>166</v>
      </c>
      <c r="G13" s="116">
        <v>193968212193</v>
      </c>
      <c r="H13" s="117" t="s">
        <v>191</v>
      </c>
      <c r="I13" s="116">
        <v>6</v>
      </c>
      <c r="J13" s="118" t="s">
        <v>192</v>
      </c>
      <c r="K13" s="116">
        <v>274</v>
      </c>
      <c r="L13" s="116" t="s">
        <v>169</v>
      </c>
      <c r="M13" s="116">
        <v>280</v>
      </c>
      <c r="N13" s="116">
        <v>280</v>
      </c>
    </row>
    <row r="14" spans="1:14" ht="15" customHeight="1" thickBot="1">
      <c r="A14" s="115">
        <v>1</v>
      </c>
      <c r="B14" s="116" t="s">
        <v>164</v>
      </c>
      <c r="C14" s="116" t="s">
        <v>165</v>
      </c>
      <c r="D14" s="116">
        <v>2300037017</v>
      </c>
      <c r="E14" s="116">
        <v>3161347825</v>
      </c>
      <c r="F14" s="116" t="s">
        <v>178</v>
      </c>
      <c r="G14" s="116">
        <v>193968212162</v>
      </c>
      <c r="H14" s="117" t="s">
        <v>193</v>
      </c>
      <c r="I14" s="116">
        <v>157</v>
      </c>
      <c r="J14" s="118" t="s">
        <v>194</v>
      </c>
      <c r="K14" s="116">
        <v>23</v>
      </c>
      <c r="L14" s="116" t="s">
        <v>169</v>
      </c>
      <c r="M14" s="116">
        <v>180</v>
      </c>
      <c r="N14" s="116">
        <v>180</v>
      </c>
    </row>
    <row r="15" spans="1:14" ht="15" hidden="1" customHeight="1" thickBot="1">
      <c r="A15" s="115">
        <v>1</v>
      </c>
      <c r="B15" s="116" t="s">
        <v>164</v>
      </c>
      <c r="C15" s="116" t="s">
        <v>165</v>
      </c>
      <c r="D15" s="116">
        <v>2300037017</v>
      </c>
      <c r="E15" s="116">
        <v>3161347825</v>
      </c>
      <c r="F15" s="116" t="s">
        <v>170</v>
      </c>
      <c r="G15" s="116">
        <v>193968212209</v>
      </c>
      <c r="H15" s="117" t="s">
        <v>195</v>
      </c>
      <c r="I15" s="116">
        <v>70</v>
      </c>
      <c r="J15" s="116">
        <v>0</v>
      </c>
      <c r="K15" s="116">
        <v>0</v>
      </c>
      <c r="L15" s="116" t="s">
        <v>169</v>
      </c>
      <c r="M15" s="116">
        <v>70</v>
      </c>
      <c r="N15" s="116">
        <v>70</v>
      </c>
    </row>
    <row r="16" spans="1:14" ht="15" customHeight="1" thickBot="1">
      <c r="A16" s="115">
        <v>1</v>
      </c>
      <c r="B16" s="116" t="s">
        <v>164</v>
      </c>
      <c r="C16" s="116" t="s">
        <v>165</v>
      </c>
      <c r="D16" s="116">
        <v>2300037017</v>
      </c>
      <c r="E16" s="116">
        <v>3161347825</v>
      </c>
      <c r="F16" s="116" t="s">
        <v>173</v>
      </c>
      <c r="G16" s="116">
        <v>193968212230</v>
      </c>
      <c r="H16" s="117" t="s">
        <v>196</v>
      </c>
      <c r="I16" s="116">
        <v>7</v>
      </c>
      <c r="J16" s="118" t="s">
        <v>197</v>
      </c>
      <c r="K16" s="116">
        <v>233</v>
      </c>
      <c r="L16" s="116" t="s">
        <v>169</v>
      </c>
      <c r="M16" s="116">
        <v>240</v>
      </c>
      <c r="N16" s="116">
        <v>240</v>
      </c>
    </row>
    <row r="17" spans="1:14" ht="15" customHeight="1" thickBot="1">
      <c r="A17" s="115">
        <v>1</v>
      </c>
      <c r="B17" s="116" t="s">
        <v>164</v>
      </c>
      <c r="C17" s="116" t="s">
        <v>165</v>
      </c>
      <c r="D17" s="116">
        <v>2300037017</v>
      </c>
      <c r="E17" s="116">
        <v>3161347825</v>
      </c>
      <c r="F17" s="116" t="s">
        <v>188</v>
      </c>
      <c r="G17" s="116">
        <v>193968212223</v>
      </c>
      <c r="H17" s="117" t="s">
        <v>198</v>
      </c>
      <c r="I17" s="116">
        <v>15</v>
      </c>
      <c r="J17" s="118" t="s">
        <v>199</v>
      </c>
      <c r="K17" s="116">
        <v>85</v>
      </c>
      <c r="L17" s="116" t="s">
        <v>169</v>
      </c>
      <c r="M17" s="116">
        <v>100</v>
      </c>
      <c r="N17" s="116">
        <v>100</v>
      </c>
    </row>
    <row r="18" spans="1:14" ht="15" customHeight="1" thickBot="1">
      <c r="A18" s="115">
        <v>1</v>
      </c>
      <c r="B18" s="116" t="s">
        <v>164</v>
      </c>
      <c r="C18" s="116" t="s">
        <v>165</v>
      </c>
      <c r="D18" s="116">
        <v>2300037017</v>
      </c>
      <c r="E18" s="116">
        <v>3161347825</v>
      </c>
      <c r="F18" s="116" t="s">
        <v>166</v>
      </c>
      <c r="G18" s="116">
        <v>193968212247</v>
      </c>
      <c r="H18" s="117" t="s">
        <v>200</v>
      </c>
      <c r="I18" s="116">
        <v>13</v>
      </c>
      <c r="J18" s="118" t="s">
        <v>201</v>
      </c>
      <c r="K18" s="116">
        <v>197</v>
      </c>
      <c r="L18" s="116" t="s">
        <v>169</v>
      </c>
      <c r="M18" s="116">
        <v>210</v>
      </c>
      <c r="N18" s="116">
        <v>210</v>
      </c>
    </row>
    <row r="19" spans="1:14" ht="15" customHeight="1" thickBot="1">
      <c r="A19" s="115">
        <v>1</v>
      </c>
      <c r="B19" s="116" t="s">
        <v>164</v>
      </c>
      <c r="C19" s="116" t="s">
        <v>165</v>
      </c>
      <c r="D19" s="116">
        <v>2300037017</v>
      </c>
      <c r="E19" s="116">
        <v>3161347825</v>
      </c>
      <c r="F19" s="116" t="s">
        <v>173</v>
      </c>
      <c r="G19" s="116">
        <v>193968212339</v>
      </c>
      <c r="H19" s="117" t="s">
        <v>202</v>
      </c>
      <c r="I19" s="116">
        <v>16</v>
      </c>
      <c r="J19" s="118" t="s">
        <v>203</v>
      </c>
      <c r="K19" s="116">
        <v>144</v>
      </c>
      <c r="L19" s="116" t="s">
        <v>169</v>
      </c>
      <c r="M19" s="116">
        <v>160</v>
      </c>
      <c r="N19" s="116">
        <v>160</v>
      </c>
    </row>
    <row r="20" spans="1:14" ht="15" customHeight="1" thickBot="1">
      <c r="A20" s="115">
        <v>1</v>
      </c>
      <c r="B20" s="116" t="s">
        <v>164</v>
      </c>
      <c r="C20" s="116" t="s">
        <v>165</v>
      </c>
      <c r="D20" s="116">
        <v>2300037017</v>
      </c>
      <c r="E20" s="116">
        <v>3161347825</v>
      </c>
      <c r="F20" s="116" t="s">
        <v>188</v>
      </c>
      <c r="G20" s="116">
        <v>193968212322</v>
      </c>
      <c r="H20" s="117" t="s">
        <v>204</v>
      </c>
      <c r="I20" s="116">
        <v>5</v>
      </c>
      <c r="J20" s="118" t="s">
        <v>205</v>
      </c>
      <c r="K20" s="116">
        <v>95</v>
      </c>
      <c r="L20" s="116" t="s">
        <v>169</v>
      </c>
      <c r="M20" s="116">
        <v>100</v>
      </c>
      <c r="N20" s="116">
        <v>100</v>
      </c>
    </row>
    <row r="21" spans="1:14" ht="15" customHeight="1" thickBot="1">
      <c r="A21" s="115">
        <v>1</v>
      </c>
      <c r="B21" s="116" t="s">
        <v>164</v>
      </c>
      <c r="C21" s="116" t="s">
        <v>165</v>
      </c>
      <c r="D21" s="116">
        <v>2300037017</v>
      </c>
      <c r="E21" s="116">
        <v>3161347825</v>
      </c>
      <c r="F21" s="116" t="s">
        <v>178</v>
      </c>
      <c r="G21" s="116">
        <v>193968212315</v>
      </c>
      <c r="H21" s="117" t="s">
        <v>206</v>
      </c>
      <c r="I21" s="116">
        <v>1</v>
      </c>
      <c r="J21" s="118" t="s">
        <v>207</v>
      </c>
      <c r="K21" s="116">
        <v>89</v>
      </c>
      <c r="L21" s="116" t="s">
        <v>169</v>
      </c>
      <c r="M21" s="116">
        <v>90</v>
      </c>
      <c r="N21" s="116">
        <v>90</v>
      </c>
    </row>
    <row r="22" spans="1:14" ht="15" customHeight="1" thickBot="1">
      <c r="A22" s="115">
        <v>1</v>
      </c>
      <c r="B22" s="116" t="s">
        <v>164</v>
      </c>
      <c r="C22" s="116" t="s">
        <v>165</v>
      </c>
      <c r="D22" s="116">
        <v>2300037017</v>
      </c>
      <c r="E22" s="116">
        <v>3161347825</v>
      </c>
      <c r="F22" s="116" t="s">
        <v>173</v>
      </c>
      <c r="G22" s="116">
        <v>193968212384</v>
      </c>
      <c r="H22" s="117" t="s">
        <v>208</v>
      </c>
      <c r="I22" s="116">
        <v>11</v>
      </c>
      <c r="J22" s="118" t="s">
        <v>209</v>
      </c>
      <c r="K22" s="116">
        <v>149</v>
      </c>
      <c r="L22" s="116" t="s">
        <v>169</v>
      </c>
      <c r="M22" s="116">
        <v>160</v>
      </c>
      <c r="N22" s="116">
        <v>160</v>
      </c>
    </row>
    <row r="23" spans="1:14" ht="15" customHeight="1" thickBot="1">
      <c r="A23" s="115">
        <v>1</v>
      </c>
      <c r="B23" s="116" t="s">
        <v>164</v>
      </c>
      <c r="C23" s="116" t="s">
        <v>165</v>
      </c>
      <c r="D23" s="116">
        <v>2300037017</v>
      </c>
      <c r="E23" s="116">
        <v>3161347825</v>
      </c>
      <c r="F23" s="116" t="s">
        <v>188</v>
      </c>
      <c r="G23" s="116">
        <v>193968212377</v>
      </c>
      <c r="H23" s="117" t="s">
        <v>210</v>
      </c>
      <c r="I23" s="116">
        <v>1</v>
      </c>
      <c r="J23" s="118" t="s">
        <v>211</v>
      </c>
      <c r="K23" s="116">
        <v>99</v>
      </c>
      <c r="L23" s="116" t="s">
        <v>169</v>
      </c>
      <c r="M23" s="116">
        <v>100</v>
      </c>
      <c r="N23" s="116">
        <v>100</v>
      </c>
    </row>
    <row r="24" spans="1:14" ht="15" customHeight="1" thickBot="1">
      <c r="A24" s="115">
        <v>1</v>
      </c>
      <c r="B24" s="116" t="s">
        <v>164</v>
      </c>
      <c r="C24" s="116" t="s">
        <v>165</v>
      </c>
      <c r="D24" s="116">
        <v>2300037017</v>
      </c>
      <c r="E24" s="116">
        <v>3161347825</v>
      </c>
      <c r="F24" s="116" t="s">
        <v>166</v>
      </c>
      <c r="G24" s="116">
        <v>193968212391</v>
      </c>
      <c r="H24" s="117" t="s">
        <v>212</v>
      </c>
      <c r="I24" s="116">
        <v>6</v>
      </c>
      <c r="J24" s="118" t="s">
        <v>213</v>
      </c>
      <c r="K24" s="116">
        <v>134</v>
      </c>
      <c r="L24" s="116" t="s">
        <v>169</v>
      </c>
      <c r="M24" s="116">
        <v>140</v>
      </c>
      <c r="N24" s="116">
        <v>140</v>
      </c>
    </row>
    <row r="25" spans="1:14" ht="15" customHeight="1" thickBot="1">
      <c r="A25" s="115">
        <v>1</v>
      </c>
      <c r="B25" s="116" t="s">
        <v>164</v>
      </c>
      <c r="C25" s="116" t="s">
        <v>165</v>
      </c>
      <c r="D25" s="116">
        <v>2300037017</v>
      </c>
      <c r="E25" s="116">
        <v>3161347825</v>
      </c>
      <c r="F25" s="116" t="s">
        <v>170</v>
      </c>
      <c r="G25" s="116">
        <v>193968212407</v>
      </c>
      <c r="H25" s="117" t="s">
        <v>214</v>
      </c>
      <c r="I25" s="116">
        <v>12</v>
      </c>
      <c r="J25" s="118" t="s">
        <v>215</v>
      </c>
      <c r="K25" s="116">
        <v>58</v>
      </c>
      <c r="L25" s="116" t="s">
        <v>169</v>
      </c>
      <c r="M25" s="116">
        <v>70</v>
      </c>
      <c r="N25" s="116">
        <v>70</v>
      </c>
    </row>
    <row r="26" spans="1:14" ht="15" customHeight="1" thickBot="1">
      <c r="A26" s="115">
        <v>1</v>
      </c>
      <c r="B26" s="116" t="s">
        <v>164</v>
      </c>
      <c r="C26" s="116" t="s">
        <v>165</v>
      </c>
      <c r="D26" s="116">
        <v>2300037017</v>
      </c>
      <c r="E26" s="116">
        <v>3161347825</v>
      </c>
      <c r="F26" s="116" t="s">
        <v>170</v>
      </c>
      <c r="G26" s="116">
        <v>193968247614</v>
      </c>
      <c r="H26" s="117" t="s">
        <v>216</v>
      </c>
      <c r="I26" s="116">
        <v>2</v>
      </c>
      <c r="J26" s="118" t="s">
        <v>217</v>
      </c>
      <c r="K26" s="116">
        <v>68</v>
      </c>
      <c r="L26" s="116" t="s">
        <v>169</v>
      </c>
      <c r="M26" s="116">
        <v>70</v>
      </c>
      <c r="N26" s="116">
        <v>70</v>
      </c>
    </row>
    <row r="27" spans="1:14" ht="15" customHeight="1" thickBot="1">
      <c r="A27" s="115">
        <v>1</v>
      </c>
      <c r="B27" s="116" t="s">
        <v>164</v>
      </c>
      <c r="C27" s="116" t="s">
        <v>165</v>
      </c>
      <c r="D27" s="116">
        <v>2300037017</v>
      </c>
      <c r="E27" s="116">
        <v>3161347825</v>
      </c>
      <c r="F27" s="116" t="s">
        <v>178</v>
      </c>
      <c r="G27" s="116">
        <v>193968247577</v>
      </c>
      <c r="H27" s="117" t="s">
        <v>218</v>
      </c>
      <c r="I27" s="116">
        <v>29</v>
      </c>
      <c r="J27" s="118" t="s">
        <v>219</v>
      </c>
      <c r="K27" s="116">
        <v>151</v>
      </c>
      <c r="L27" s="116" t="s">
        <v>169</v>
      </c>
      <c r="M27" s="116">
        <v>180</v>
      </c>
      <c r="N27" s="116">
        <v>180</v>
      </c>
    </row>
    <row r="28" spans="1:14" ht="15" customHeight="1" thickBot="1">
      <c r="A28" s="115">
        <v>1</v>
      </c>
      <c r="B28" s="116" t="s">
        <v>164</v>
      </c>
      <c r="C28" s="116" t="s">
        <v>165</v>
      </c>
      <c r="D28" s="116">
        <v>2300037017</v>
      </c>
      <c r="E28" s="116">
        <v>3161347825</v>
      </c>
      <c r="F28" s="116" t="s">
        <v>166</v>
      </c>
      <c r="G28" s="116">
        <v>193968247607</v>
      </c>
      <c r="H28" s="117" t="s">
        <v>220</v>
      </c>
      <c r="I28" s="116">
        <v>18</v>
      </c>
      <c r="J28" s="118" t="s">
        <v>221</v>
      </c>
      <c r="K28" s="116">
        <v>122</v>
      </c>
      <c r="L28" s="116" t="s">
        <v>169</v>
      </c>
      <c r="M28" s="116">
        <v>140</v>
      </c>
      <c r="N28" s="116">
        <v>140</v>
      </c>
    </row>
    <row r="29" spans="1:14" ht="15" customHeight="1" thickBot="1">
      <c r="A29" s="115">
        <v>1</v>
      </c>
      <c r="B29" s="116" t="s">
        <v>164</v>
      </c>
      <c r="C29" s="116" t="s">
        <v>165</v>
      </c>
      <c r="D29" s="116">
        <v>2300037017</v>
      </c>
      <c r="E29" s="116">
        <v>3161347825</v>
      </c>
      <c r="F29" s="116" t="s">
        <v>173</v>
      </c>
      <c r="G29" s="116">
        <v>193968247591</v>
      </c>
      <c r="H29" s="117" t="s">
        <v>222</v>
      </c>
      <c r="I29" s="116">
        <v>26</v>
      </c>
      <c r="J29" s="118" t="s">
        <v>223</v>
      </c>
      <c r="K29" s="116">
        <v>294</v>
      </c>
      <c r="L29" s="116" t="s">
        <v>169</v>
      </c>
      <c r="M29" s="116">
        <v>320</v>
      </c>
      <c r="N29" s="116">
        <v>320</v>
      </c>
    </row>
    <row r="30" spans="1:14" ht="15" customHeight="1" thickBot="1">
      <c r="A30" s="115">
        <v>1</v>
      </c>
      <c r="B30" s="116" t="s">
        <v>164</v>
      </c>
      <c r="C30" s="116" t="s">
        <v>165</v>
      </c>
      <c r="D30" s="116">
        <v>2300037017</v>
      </c>
      <c r="E30" s="116">
        <v>3161347825</v>
      </c>
      <c r="F30" s="116" t="s">
        <v>188</v>
      </c>
      <c r="G30" s="116">
        <v>193968247584</v>
      </c>
      <c r="H30" s="117" t="s">
        <v>224</v>
      </c>
      <c r="I30" s="116">
        <v>19</v>
      </c>
      <c r="J30" s="118" t="s">
        <v>225</v>
      </c>
      <c r="K30" s="116">
        <v>181</v>
      </c>
      <c r="L30" s="116" t="s">
        <v>169</v>
      </c>
      <c r="M30" s="116">
        <v>200</v>
      </c>
      <c r="N30" s="116">
        <v>200</v>
      </c>
    </row>
    <row r="31" spans="1:14">
      <c r="A31" s="119"/>
    </row>
    <row r="32" spans="1:14" ht="15.6" customHeight="1" thickBot="1">
      <c r="A32" s="120"/>
    </row>
    <row r="33" spans="1:12" ht="15" customHeight="1" thickBot="1">
      <c r="A33" s="121"/>
      <c r="B33" s="122"/>
      <c r="C33" s="122"/>
      <c r="D33" s="122"/>
      <c r="E33" s="122"/>
      <c r="F33" s="122"/>
      <c r="G33" s="122"/>
      <c r="H33" s="182" t="s">
        <v>226</v>
      </c>
      <c r="I33" s="183"/>
      <c r="J33" s="182" t="s">
        <v>227</v>
      </c>
      <c r="K33" s="183"/>
      <c r="L33" s="123"/>
    </row>
    <row r="34" spans="1:12" ht="15" customHeight="1" thickBot="1">
      <c r="A34" s="112" t="s">
        <v>152</v>
      </c>
      <c r="B34" s="113" t="s">
        <v>153</v>
      </c>
      <c r="C34" s="113" t="s">
        <v>154</v>
      </c>
      <c r="D34" s="113" t="s">
        <v>155</v>
      </c>
      <c r="E34" s="113" t="s">
        <v>156</v>
      </c>
      <c r="F34" s="113" t="s">
        <v>157</v>
      </c>
      <c r="G34" s="113" t="s">
        <v>158</v>
      </c>
      <c r="H34" s="113" t="s">
        <v>159</v>
      </c>
      <c r="I34" s="113" t="s">
        <v>162</v>
      </c>
      <c r="J34" s="113" t="s">
        <v>159</v>
      </c>
      <c r="K34" s="113" t="s">
        <v>162</v>
      </c>
      <c r="L34" s="113" t="s">
        <v>162</v>
      </c>
    </row>
    <row r="35" spans="1:12" ht="15" customHeight="1" thickBot="1">
      <c r="A35" s="115">
        <v>1</v>
      </c>
      <c r="B35" s="116" t="s">
        <v>164</v>
      </c>
      <c r="C35" s="116" t="s">
        <v>165</v>
      </c>
      <c r="D35" s="116">
        <v>2300038048</v>
      </c>
      <c r="E35" s="116">
        <v>3161348989</v>
      </c>
      <c r="F35" s="116" t="s">
        <v>166</v>
      </c>
      <c r="G35" s="116">
        <v>193968351908</v>
      </c>
      <c r="H35" s="117" t="s">
        <v>228</v>
      </c>
      <c r="I35" s="124" t="s">
        <v>229</v>
      </c>
      <c r="J35" s="124" t="s">
        <v>230</v>
      </c>
      <c r="K35" s="124" t="s">
        <v>230</v>
      </c>
      <c r="L35" s="116">
        <v>75</v>
      </c>
    </row>
    <row r="36" spans="1:12" ht="15" customHeight="1" thickBot="1">
      <c r="A36" s="115">
        <v>1</v>
      </c>
      <c r="B36" s="116" t="s">
        <v>164</v>
      </c>
      <c r="C36" s="116" t="s">
        <v>165</v>
      </c>
      <c r="D36" s="116">
        <v>2300038048</v>
      </c>
      <c r="E36" s="116">
        <v>3161348989</v>
      </c>
      <c r="F36" s="116" t="s">
        <v>173</v>
      </c>
      <c r="G36" s="116">
        <v>193968351892</v>
      </c>
      <c r="H36" s="117" t="s">
        <v>231</v>
      </c>
      <c r="I36" s="124" t="s">
        <v>232</v>
      </c>
      <c r="J36" s="124" t="s">
        <v>230</v>
      </c>
      <c r="K36" s="124" t="s">
        <v>230</v>
      </c>
      <c r="L36" s="116">
        <v>125</v>
      </c>
    </row>
    <row r="37" spans="1:12" ht="15" customHeight="1" thickBot="1">
      <c r="A37" s="115">
        <v>1</v>
      </c>
      <c r="B37" s="116" t="s">
        <v>164</v>
      </c>
      <c r="C37" s="116" t="s">
        <v>165</v>
      </c>
      <c r="D37" s="116">
        <v>2300037153</v>
      </c>
      <c r="E37" s="116">
        <v>3161348018</v>
      </c>
      <c r="F37" s="116" t="s">
        <v>233</v>
      </c>
      <c r="G37" s="116">
        <v>193968247881</v>
      </c>
      <c r="H37" s="117" t="s">
        <v>234</v>
      </c>
      <c r="I37" s="124" t="s">
        <v>235</v>
      </c>
      <c r="J37" s="124" t="s">
        <v>230</v>
      </c>
      <c r="K37" s="124" t="s">
        <v>230</v>
      </c>
      <c r="L37" s="116">
        <v>1180</v>
      </c>
    </row>
    <row r="38" spans="1:12" ht="15" customHeight="1" thickBot="1">
      <c r="A38" s="115">
        <v>1</v>
      </c>
      <c r="B38" s="116" t="s">
        <v>164</v>
      </c>
      <c r="C38" s="116" t="s">
        <v>165</v>
      </c>
      <c r="D38" s="116">
        <v>2300037153</v>
      </c>
      <c r="E38" s="116">
        <v>3161348018</v>
      </c>
      <c r="F38" s="116" t="s">
        <v>233</v>
      </c>
      <c r="G38" s="116">
        <v>193968247904</v>
      </c>
      <c r="H38" s="117" t="s">
        <v>236</v>
      </c>
      <c r="I38" s="124" t="s">
        <v>230</v>
      </c>
      <c r="J38" s="118" t="s">
        <v>237</v>
      </c>
      <c r="K38" s="124" t="s">
        <v>238</v>
      </c>
      <c r="L38" s="116">
        <v>120</v>
      </c>
    </row>
    <row r="39" spans="1:12" ht="15" customHeight="1" thickBot="1">
      <c r="A39" s="115">
        <v>1</v>
      </c>
      <c r="B39" s="116" t="s">
        <v>164</v>
      </c>
      <c r="C39" s="116" t="s">
        <v>165</v>
      </c>
      <c r="D39" s="116">
        <v>2300037153</v>
      </c>
      <c r="E39" s="116">
        <v>3161348018</v>
      </c>
      <c r="F39" s="116" t="s">
        <v>233</v>
      </c>
      <c r="G39" s="116">
        <v>193968247898</v>
      </c>
      <c r="H39" s="117" t="s">
        <v>239</v>
      </c>
      <c r="I39" s="124" t="s">
        <v>230</v>
      </c>
      <c r="J39" s="118" t="s">
        <v>240</v>
      </c>
      <c r="K39" s="124" t="s">
        <v>241</v>
      </c>
      <c r="L39" s="116">
        <v>80</v>
      </c>
    </row>
    <row r="40" spans="1:12" ht="15" customHeight="1" thickBot="1">
      <c r="A40" s="115">
        <v>1</v>
      </c>
      <c r="B40" s="116" t="s">
        <v>164</v>
      </c>
      <c r="C40" s="116" t="s">
        <v>165</v>
      </c>
      <c r="D40" s="116">
        <v>2300037153</v>
      </c>
      <c r="E40" s="116">
        <v>3161348018</v>
      </c>
      <c r="F40" s="116" t="s">
        <v>233</v>
      </c>
      <c r="G40" s="116">
        <v>193968247973</v>
      </c>
      <c r="H40" s="117" t="s">
        <v>242</v>
      </c>
      <c r="I40" s="124" t="s">
        <v>243</v>
      </c>
      <c r="J40" s="124" t="s">
        <v>230</v>
      </c>
      <c r="K40" s="124" t="s">
        <v>230</v>
      </c>
      <c r="L40" s="116">
        <v>20</v>
      </c>
    </row>
    <row r="41" spans="1:12" ht="15" customHeight="1" thickBot="1">
      <c r="A41" s="115">
        <v>1</v>
      </c>
      <c r="B41" s="116" t="s">
        <v>164</v>
      </c>
      <c r="C41" s="116" t="s">
        <v>165</v>
      </c>
      <c r="D41" s="116">
        <v>2300037153</v>
      </c>
      <c r="E41" s="116">
        <v>3161348018</v>
      </c>
      <c r="F41" s="116" t="s">
        <v>233</v>
      </c>
      <c r="G41" s="116">
        <v>193968247997</v>
      </c>
      <c r="H41" s="117" t="s">
        <v>244</v>
      </c>
      <c r="I41" s="124" t="s">
        <v>230</v>
      </c>
      <c r="J41" s="118" t="s">
        <v>221</v>
      </c>
      <c r="K41" s="124" t="s">
        <v>245</v>
      </c>
      <c r="L41" s="116">
        <v>380</v>
      </c>
    </row>
    <row r="42" spans="1:12" ht="15" customHeight="1" thickBot="1">
      <c r="A42" s="115">
        <v>1</v>
      </c>
      <c r="B42" s="116" t="s">
        <v>164</v>
      </c>
      <c r="C42" s="116" t="s">
        <v>165</v>
      </c>
      <c r="D42" s="116">
        <v>2300037153</v>
      </c>
      <c r="E42" s="116">
        <v>3161348018</v>
      </c>
      <c r="F42" s="116" t="s">
        <v>233</v>
      </c>
      <c r="G42" s="116">
        <v>193968260606</v>
      </c>
      <c r="H42" s="117" t="s">
        <v>246</v>
      </c>
      <c r="I42" s="124" t="s">
        <v>230</v>
      </c>
      <c r="J42" s="118" t="s">
        <v>247</v>
      </c>
      <c r="K42" s="124" t="s">
        <v>248</v>
      </c>
      <c r="L42" s="116">
        <v>160</v>
      </c>
    </row>
    <row r="43" spans="1:12" ht="15" customHeight="1" thickBot="1">
      <c r="A43" s="115">
        <v>1</v>
      </c>
      <c r="B43" s="116" t="s">
        <v>164</v>
      </c>
      <c r="C43" s="116" t="s">
        <v>165</v>
      </c>
      <c r="D43" s="116">
        <v>2300037153</v>
      </c>
      <c r="E43" s="116">
        <v>3161348018</v>
      </c>
      <c r="F43" s="116" t="s">
        <v>233</v>
      </c>
      <c r="G43" s="116">
        <v>193968248017</v>
      </c>
      <c r="H43" s="117" t="s">
        <v>249</v>
      </c>
      <c r="I43" s="124" t="s">
        <v>250</v>
      </c>
      <c r="J43" s="124" t="s">
        <v>230</v>
      </c>
      <c r="K43" s="124" t="s">
        <v>230</v>
      </c>
      <c r="L43" s="116">
        <v>40</v>
      </c>
    </row>
    <row r="44" spans="1:12" ht="15" customHeight="1" thickBot="1">
      <c r="A44" s="115">
        <v>1</v>
      </c>
      <c r="B44" s="116" t="s">
        <v>164</v>
      </c>
      <c r="C44" s="116" t="s">
        <v>165</v>
      </c>
      <c r="D44" s="116">
        <v>2300037153</v>
      </c>
      <c r="E44" s="116">
        <v>3161348018</v>
      </c>
      <c r="F44" s="116" t="s">
        <v>251</v>
      </c>
      <c r="G44" s="116">
        <v>193968247805</v>
      </c>
      <c r="H44" s="117" t="s">
        <v>252</v>
      </c>
      <c r="I44" s="124" t="s">
        <v>230</v>
      </c>
      <c r="J44" s="118" t="s">
        <v>253</v>
      </c>
      <c r="K44" s="124" t="s">
        <v>254</v>
      </c>
      <c r="L44" s="116">
        <v>580</v>
      </c>
    </row>
    <row r="45" spans="1:12" ht="15" customHeight="1" thickBot="1">
      <c r="A45" s="115">
        <v>1</v>
      </c>
      <c r="B45" s="116" t="s">
        <v>164</v>
      </c>
      <c r="C45" s="116" t="s">
        <v>165</v>
      </c>
      <c r="D45" s="116">
        <v>2300037153</v>
      </c>
      <c r="E45" s="116">
        <v>3161348018</v>
      </c>
      <c r="F45" s="116" t="s">
        <v>251</v>
      </c>
      <c r="G45" s="116">
        <v>193968247829</v>
      </c>
      <c r="H45" s="117" t="s">
        <v>255</v>
      </c>
      <c r="I45" s="124" t="s">
        <v>230</v>
      </c>
      <c r="J45" s="118" t="s">
        <v>256</v>
      </c>
      <c r="K45" s="124" t="s">
        <v>257</v>
      </c>
      <c r="L45" s="116">
        <v>480</v>
      </c>
    </row>
    <row r="46" spans="1:12" ht="15" customHeight="1" thickBot="1">
      <c r="A46" s="115">
        <v>1</v>
      </c>
      <c r="B46" s="116" t="s">
        <v>164</v>
      </c>
      <c r="C46" s="116" t="s">
        <v>165</v>
      </c>
      <c r="D46" s="116">
        <v>2300037153</v>
      </c>
      <c r="E46" s="116">
        <v>3161348018</v>
      </c>
      <c r="F46" s="116" t="s">
        <v>251</v>
      </c>
      <c r="G46" s="116">
        <v>193968247812</v>
      </c>
      <c r="H46" s="117" t="s">
        <v>258</v>
      </c>
      <c r="I46" s="124" t="s">
        <v>230</v>
      </c>
      <c r="J46" s="118" t="s">
        <v>259</v>
      </c>
      <c r="K46" s="124" t="s">
        <v>260</v>
      </c>
      <c r="L46" s="116">
        <v>420</v>
      </c>
    </row>
    <row r="47" spans="1:12" ht="15" customHeight="1" thickBot="1">
      <c r="A47" s="115">
        <v>1</v>
      </c>
      <c r="B47" s="116" t="s">
        <v>164</v>
      </c>
      <c r="C47" s="116" t="s">
        <v>165</v>
      </c>
      <c r="D47" s="116">
        <v>2300037153</v>
      </c>
      <c r="E47" s="116">
        <v>3161348018</v>
      </c>
      <c r="F47" s="116" t="s">
        <v>251</v>
      </c>
      <c r="G47" s="116">
        <v>193968247980</v>
      </c>
      <c r="H47" s="117" t="s">
        <v>261</v>
      </c>
      <c r="I47" s="124" t="s">
        <v>230</v>
      </c>
      <c r="J47" s="118" t="s">
        <v>262</v>
      </c>
      <c r="K47" s="124" t="s">
        <v>263</v>
      </c>
      <c r="L47" s="116">
        <v>300</v>
      </c>
    </row>
    <row r="48" spans="1:12" ht="15" customHeight="1" thickBot="1">
      <c r="A48" s="115">
        <v>1</v>
      </c>
      <c r="B48" s="116" t="s">
        <v>164</v>
      </c>
      <c r="C48" s="116" t="s">
        <v>165</v>
      </c>
      <c r="D48" s="116">
        <v>2300036426</v>
      </c>
      <c r="E48" s="116">
        <v>3161346876</v>
      </c>
      <c r="F48" s="116" t="s">
        <v>188</v>
      </c>
      <c r="G48" s="116">
        <v>193968211806</v>
      </c>
      <c r="H48" s="117" t="s">
        <v>264</v>
      </c>
      <c r="I48" s="124" t="s">
        <v>230</v>
      </c>
      <c r="J48" s="118" t="s">
        <v>265</v>
      </c>
      <c r="K48" s="124" t="s">
        <v>266</v>
      </c>
      <c r="L48" s="116">
        <v>200</v>
      </c>
    </row>
    <row r="49" spans="1:12" ht="15" customHeight="1" thickBot="1">
      <c r="A49" s="115">
        <v>1</v>
      </c>
      <c r="B49" s="116" t="s">
        <v>164</v>
      </c>
      <c r="C49" s="116" t="s">
        <v>165</v>
      </c>
      <c r="D49" s="116">
        <v>2300036426</v>
      </c>
      <c r="E49" s="116">
        <v>3161346876</v>
      </c>
      <c r="F49" s="116" t="s">
        <v>170</v>
      </c>
      <c r="G49" s="116">
        <v>193968212049</v>
      </c>
      <c r="H49" s="117" t="s">
        <v>171</v>
      </c>
      <c r="I49" s="124" t="s">
        <v>230</v>
      </c>
      <c r="J49" s="118" t="s">
        <v>172</v>
      </c>
      <c r="K49" s="125">
        <v>70</v>
      </c>
      <c r="L49" s="116">
        <v>70</v>
      </c>
    </row>
    <row r="50" spans="1:12" ht="15" customHeight="1" thickBot="1">
      <c r="A50" s="115">
        <v>1</v>
      </c>
      <c r="B50" s="116" t="s">
        <v>164</v>
      </c>
      <c r="C50" s="116" t="s">
        <v>165</v>
      </c>
      <c r="D50" s="116">
        <v>2300036426</v>
      </c>
      <c r="E50" s="116">
        <v>3161346876</v>
      </c>
      <c r="F50" s="116" t="s">
        <v>173</v>
      </c>
      <c r="G50" s="116">
        <v>193968212186</v>
      </c>
      <c r="H50" s="117" t="s">
        <v>186</v>
      </c>
      <c r="I50" s="124" t="s">
        <v>230</v>
      </c>
      <c r="J50" s="118" t="s">
        <v>187</v>
      </c>
      <c r="K50" s="124" t="s">
        <v>267</v>
      </c>
      <c r="L50" s="116">
        <v>26</v>
      </c>
    </row>
    <row r="51" spans="1:12" ht="15" customHeight="1" thickBot="1">
      <c r="A51" s="115">
        <v>1</v>
      </c>
      <c r="B51" s="116" t="s">
        <v>164</v>
      </c>
      <c r="C51" s="116" t="s">
        <v>165</v>
      </c>
      <c r="D51" s="116">
        <v>2300036426</v>
      </c>
      <c r="E51" s="116">
        <v>3161346876</v>
      </c>
      <c r="F51" s="116" t="s">
        <v>166</v>
      </c>
      <c r="G51" s="116">
        <v>193968212193</v>
      </c>
      <c r="H51" s="117" t="s">
        <v>191</v>
      </c>
      <c r="I51" s="124" t="s">
        <v>230</v>
      </c>
      <c r="J51" s="118" t="s">
        <v>192</v>
      </c>
      <c r="K51" s="124" t="s">
        <v>268</v>
      </c>
      <c r="L51" s="116">
        <v>25</v>
      </c>
    </row>
    <row r="52" spans="1:12" ht="15" customHeight="1" thickBot="1">
      <c r="A52" s="115">
        <v>1</v>
      </c>
      <c r="B52" s="116" t="s">
        <v>164</v>
      </c>
      <c r="C52" s="116" t="s">
        <v>165</v>
      </c>
      <c r="D52" s="116">
        <v>2300036426</v>
      </c>
      <c r="E52" s="116">
        <v>3161346876</v>
      </c>
      <c r="F52" s="116" t="s">
        <v>173</v>
      </c>
      <c r="G52" s="116">
        <v>193968212230</v>
      </c>
      <c r="H52" s="117" t="s">
        <v>196</v>
      </c>
      <c r="I52" s="124" t="s">
        <v>230</v>
      </c>
      <c r="J52" s="118" t="s">
        <v>197</v>
      </c>
      <c r="K52" s="124" t="s">
        <v>269</v>
      </c>
      <c r="L52" s="116">
        <v>53</v>
      </c>
    </row>
    <row r="53" spans="1:12" ht="15" customHeight="1" thickBot="1">
      <c r="A53" s="115">
        <v>1</v>
      </c>
      <c r="B53" s="116" t="s">
        <v>164</v>
      </c>
      <c r="C53" s="116" t="s">
        <v>165</v>
      </c>
      <c r="D53" s="116">
        <v>2300036426</v>
      </c>
      <c r="E53" s="116">
        <v>3161346876</v>
      </c>
      <c r="F53" s="116" t="s">
        <v>173</v>
      </c>
      <c r="G53" s="116">
        <v>193968247591</v>
      </c>
      <c r="H53" s="117" t="s">
        <v>222</v>
      </c>
      <c r="I53" s="124" t="s">
        <v>230</v>
      </c>
      <c r="J53" s="118" t="s">
        <v>223</v>
      </c>
      <c r="K53" s="124" t="s">
        <v>270</v>
      </c>
      <c r="L53" s="116">
        <v>8</v>
      </c>
    </row>
    <row r="54" spans="1:12" ht="15" customHeight="1" thickBot="1">
      <c r="A54" s="115">
        <v>1</v>
      </c>
      <c r="B54" s="116" t="s">
        <v>164</v>
      </c>
      <c r="C54" s="116" t="s">
        <v>165</v>
      </c>
      <c r="D54" s="116">
        <v>2300036426</v>
      </c>
      <c r="E54" s="116">
        <v>3161346876</v>
      </c>
      <c r="F54" s="116" t="s">
        <v>173</v>
      </c>
      <c r="G54" s="116">
        <v>193968247546</v>
      </c>
      <c r="H54" s="117" t="s">
        <v>271</v>
      </c>
      <c r="I54" s="124" t="s">
        <v>230</v>
      </c>
      <c r="J54" s="118" t="s">
        <v>272</v>
      </c>
      <c r="K54" s="124" t="s">
        <v>273</v>
      </c>
      <c r="L54" s="116">
        <v>180</v>
      </c>
    </row>
    <row r="55" spans="1:12" ht="15" customHeight="1" thickBot="1">
      <c r="A55" s="115">
        <v>1</v>
      </c>
      <c r="B55" s="116" t="s">
        <v>164</v>
      </c>
      <c r="C55" s="116" t="s">
        <v>165</v>
      </c>
      <c r="D55" s="116">
        <v>2300036733</v>
      </c>
      <c r="E55" s="116">
        <v>3161347364</v>
      </c>
      <c r="F55" s="116" t="s">
        <v>173</v>
      </c>
      <c r="G55" s="116">
        <v>193968211875</v>
      </c>
      <c r="H55" s="117" t="s">
        <v>274</v>
      </c>
      <c r="I55" s="124" t="s">
        <v>230</v>
      </c>
      <c r="J55" s="118" t="s">
        <v>275</v>
      </c>
      <c r="K55" s="124" t="s">
        <v>276</v>
      </c>
      <c r="L55" s="116">
        <v>560</v>
      </c>
    </row>
    <row r="56" spans="1:12" ht="15" customHeight="1" thickBot="1">
      <c r="A56" s="115">
        <v>1</v>
      </c>
      <c r="B56" s="116" t="s">
        <v>164</v>
      </c>
      <c r="C56" s="116" t="s">
        <v>165</v>
      </c>
      <c r="D56" s="116">
        <v>2300036733</v>
      </c>
      <c r="E56" s="116">
        <v>3161347364</v>
      </c>
      <c r="F56" s="116" t="s">
        <v>166</v>
      </c>
      <c r="G56" s="116">
        <v>193968211950</v>
      </c>
      <c r="H56" s="117" t="s">
        <v>277</v>
      </c>
      <c r="I56" s="124" t="s">
        <v>230</v>
      </c>
      <c r="J56" s="118" t="s">
        <v>278</v>
      </c>
      <c r="K56" s="124" t="s">
        <v>279</v>
      </c>
      <c r="L56" s="116">
        <v>350</v>
      </c>
    </row>
    <row r="57" spans="1:12" ht="15" customHeight="1" thickBot="1">
      <c r="A57" s="115">
        <v>1</v>
      </c>
      <c r="B57" s="116" t="s">
        <v>164</v>
      </c>
      <c r="C57" s="116" t="s">
        <v>165</v>
      </c>
      <c r="D57" s="116">
        <v>2300036733</v>
      </c>
      <c r="E57" s="116">
        <v>3161347364</v>
      </c>
      <c r="F57" s="116" t="s">
        <v>178</v>
      </c>
      <c r="G57" s="116">
        <v>193968221492</v>
      </c>
      <c r="H57" s="117" t="s">
        <v>280</v>
      </c>
      <c r="I57" s="124" t="s">
        <v>230</v>
      </c>
      <c r="J57" s="118" t="s">
        <v>281</v>
      </c>
      <c r="K57" s="124" t="s">
        <v>282</v>
      </c>
      <c r="L57" s="116">
        <v>270</v>
      </c>
    </row>
    <row r="58" spans="1:12" ht="15" customHeight="1" thickBot="1">
      <c r="A58" s="115">
        <v>1</v>
      </c>
      <c r="B58" s="116" t="s">
        <v>164</v>
      </c>
      <c r="C58" s="116" t="s">
        <v>165</v>
      </c>
      <c r="D58" s="116">
        <v>2300036733</v>
      </c>
      <c r="E58" s="116">
        <v>3161347364</v>
      </c>
      <c r="F58" s="116" t="s">
        <v>170</v>
      </c>
      <c r="G58" s="116">
        <v>193968212032</v>
      </c>
      <c r="H58" s="117" t="s">
        <v>283</v>
      </c>
      <c r="I58" s="124" t="s">
        <v>230</v>
      </c>
      <c r="J58" s="118" t="s">
        <v>284</v>
      </c>
      <c r="K58" s="124" t="s">
        <v>285</v>
      </c>
      <c r="L58" s="116">
        <v>70</v>
      </c>
    </row>
    <row r="59" spans="1:12" ht="15" customHeight="1" thickBot="1">
      <c r="A59" s="115">
        <v>1</v>
      </c>
      <c r="B59" s="116" t="s">
        <v>164</v>
      </c>
      <c r="C59" s="116" t="s">
        <v>165</v>
      </c>
      <c r="D59" s="116">
        <v>2300036733</v>
      </c>
      <c r="E59" s="116">
        <v>3161347364</v>
      </c>
      <c r="F59" s="116" t="s">
        <v>173</v>
      </c>
      <c r="G59" s="116">
        <v>193968211936</v>
      </c>
      <c r="H59" s="117" t="s">
        <v>286</v>
      </c>
      <c r="I59" s="124" t="s">
        <v>230</v>
      </c>
      <c r="J59" s="118" t="s">
        <v>287</v>
      </c>
      <c r="K59" s="124" t="s">
        <v>248</v>
      </c>
      <c r="L59" s="116">
        <v>160</v>
      </c>
    </row>
    <row r="60" spans="1:12" ht="15" customHeight="1" thickBot="1">
      <c r="A60" s="115">
        <v>1</v>
      </c>
      <c r="B60" s="116" t="s">
        <v>164</v>
      </c>
      <c r="C60" s="116" t="s">
        <v>165</v>
      </c>
      <c r="D60" s="116">
        <v>2300036733</v>
      </c>
      <c r="E60" s="116">
        <v>3161347364</v>
      </c>
      <c r="F60" s="116" t="s">
        <v>188</v>
      </c>
      <c r="G60" s="116">
        <v>193968211851</v>
      </c>
      <c r="H60" s="117" t="s">
        <v>288</v>
      </c>
      <c r="I60" s="124" t="s">
        <v>230</v>
      </c>
      <c r="J60" s="118" t="s">
        <v>289</v>
      </c>
      <c r="K60" s="124" t="s">
        <v>290</v>
      </c>
      <c r="L60" s="116">
        <v>100</v>
      </c>
    </row>
    <row r="61" spans="1:12" ht="15" customHeight="1" thickBot="1">
      <c r="A61" s="115">
        <v>1</v>
      </c>
      <c r="B61" s="116" t="s">
        <v>164</v>
      </c>
      <c r="C61" s="116" t="s">
        <v>165</v>
      </c>
      <c r="D61" s="116">
        <v>2300036733</v>
      </c>
      <c r="E61" s="116">
        <v>3161347364</v>
      </c>
      <c r="F61" s="116" t="s">
        <v>166</v>
      </c>
      <c r="G61" s="116">
        <v>193968212018</v>
      </c>
      <c r="H61" s="117" t="s">
        <v>291</v>
      </c>
      <c r="I61" s="124" t="s">
        <v>230</v>
      </c>
      <c r="J61" s="118" t="s">
        <v>292</v>
      </c>
      <c r="K61" s="124" t="s">
        <v>293</v>
      </c>
      <c r="L61" s="116">
        <v>140</v>
      </c>
    </row>
    <row r="62" spans="1:12" ht="15" customHeight="1" thickBot="1">
      <c r="A62" s="115">
        <v>1</v>
      </c>
      <c r="B62" s="116" t="s">
        <v>164</v>
      </c>
      <c r="C62" s="116" t="s">
        <v>165</v>
      </c>
      <c r="D62" s="116">
        <v>2300036733</v>
      </c>
      <c r="E62" s="116">
        <v>3161347364</v>
      </c>
      <c r="F62" s="116" t="s">
        <v>178</v>
      </c>
      <c r="G62" s="116">
        <v>193968221515</v>
      </c>
      <c r="H62" s="117" t="s">
        <v>294</v>
      </c>
      <c r="I62" s="124" t="s">
        <v>230</v>
      </c>
      <c r="J62" s="118" t="s">
        <v>295</v>
      </c>
      <c r="K62" s="124" t="s">
        <v>296</v>
      </c>
      <c r="L62" s="116">
        <v>90</v>
      </c>
    </row>
    <row r="63" spans="1:12" ht="15" customHeight="1" thickBot="1">
      <c r="A63" s="115">
        <v>1</v>
      </c>
      <c r="B63" s="116" t="s">
        <v>164</v>
      </c>
      <c r="C63" s="116" t="s">
        <v>165</v>
      </c>
      <c r="D63" s="116">
        <v>2300036733</v>
      </c>
      <c r="E63" s="116">
        <v>3161347364</v>
      </c>
      <c r="F63" s="116" t="s">
        <v>173</v>
      </c>
      <c r="G63" s="116">
        <v>193968211905</v>
      </c>
      <c r="H63" s="117" t="s">
        <v>297</v>
      </c>
      <c r="I63" s="124" t="s">
        <v>248</v>
      </c>
      <c r="J63" s="124" t="s">
        <v>230</v>
      </c>
      <c r="K63" s="124" t="s">
        <v>230</v>
      </c>
      <c r="L63" s="116">
        <v>160</v>
      </c>
    </row>
    <row r="64" spans="1:12" ht="15" customHeight="1" thickBot="1">
      <c r="A64" s="115">
        <v>1</v>
      </c>
      <c r="B64" s="116" t="s">
        <v>164</v>
      </c>
      <c r="C64" s="116" t="s">
        <v>165</v>
      </c>
      <c r="D64" s="116">
        <v>2300036733</v>
      </c>
      <c r="E64" s="116">
        <v>3161347364</v>
      </c>
      <c r="F64" s="116" t="s">
        <v>188</v>
      </c>
      <c r="G64" s="116">
        <v>193968211820</v>
      </c>
      <c r="H64" s="117" t="s">
        <v>298</v>
      </c>
      <c r="I64" s="124" t="s">
        <v>230</v>
      </c>
      <c r="J64" s="118" t="s">
        <v>299</v>
      </c>
      <c r="K64" s="124" t="s">
        <v>290</v>
      </c>
      <c r="L64" s="116">
        <v>100</v>
      </c>
    </row>
    <row r="65" spans="1:12" ht="15" customHeight="1" thickBot="1">
      <c r="A65" s="115">
        <v>1</v>
      </c>
      <c r="B65" s="116" t="s">
        <v>164</v>
      </c>
      <c r="C65" s="116" t="s">
        <v>165</v>
      </c>
      <c r="D65" s="116">
        <v>2300036733</v>
      </c>
      <c r="E65" s="116">
        <v>3161347364</v>
      </c>
      <c r="F65" s="116" t="s">
        <v>166</v>
      </c>
      <c r="G65" s="116">
        <v>193968211981</v>
      </c>
      <c r="H65" s="117" t="s">
        <v>300</v>
      </c>
      <c r="I65" s="124" t="s">
        <v>230</v>
      </c>
      <c r="J65" s="118" t="s">
        <v>301</v>
      </c>
      <c r="K65" s="124" t="s">
        <v>285</v>
      </c>
      <c r="L65" s="116">
        <v>70</v>
      </c>
    </row>
    <row r="66" spans="1:12" ht="15" customHeight="1" thickBot="1">
      <c r="A66" s="115">
        <v>1</v>
      </c>
      <c r="B66" s="116" t="s">
        <v>164</v>
      </c>
      <c r="C66" s="116" t="s">
        <v>165</v>
      </c>
      <c r="D66" s="116">
        <v>2300036733</v>
      </c>
      <c r="E66" s="116">
        <v>3161347364</v>
      </c>
      <c r="F66" s="116" t="s">
        <v>178</v>
      </c>
      <c r="G66" s="116">
        <v>193968216306</v>
      </c>
      <c r="H66" s="117" t="s">
        <v>302</v>
      </c>
      <c r="I66" s="124" t="s">
        <v>230</v>
      </c>
      <c r="J66" s="118" t="s">
        <v>303</v>
      </c>
      <c r="K66" s="124" t="s">
        <v>296</v>
      </c>
      <c r="L66" s="116">
        <v>90</v>
      </c>
    </row>
    <row r="67" spans="1:12" ht="15" customHeight="1" thickBot="1">
      <c r="A67" s="115">
        <v>1</v>
      </c>
      <c r="B67" s="116" t="s">
        <v>164</v>
      </c>
      <c r="C67" s="116" t="s">
        <v>165</v>
      </c>
      <c r="D67" s="116">
        <v>2300036733</v>
      </c>
      <c r="E67" s="116">
        <v>3161347364</v>
      </c>
      <c r="F67" s="116" t="s">
        <v>170</v>
      </c>
      <c r="G67" s="116">
        <v>193968212063</v>
      </c>
      <c r="H67" s="117" t="s">
        <v>304</v>
      </c>
      <c r="I67" s="124" t="s">
        <v>230</v>
      </c>
      <c r="J67" s="118" t="s">
        <v>305</v>
      </c>
      <c r="K67" s="124" t="s">
        <v>285</v>
      </c>
      <c r="L67" s="116">
        <v>70</v>
      </c>
    </row>
    <row r="68" spans="1:12" ht="15" customHeight="1" thickBot="1">
      <c r="A68" s="115">
        <v>1</v>
      </c>
      <c r="B68" s="116" t="s">
        <v>164</v>
      </c>
      <c r="C68" s="116" t="s">
        <v>165</v>
      </c>
      <c r="D68" s="116">
        <v>2300036733</v>
      </c>
      <c r="E68" s="116">
        <v>3161347364</v>
      </c>
      <c r="F68" s="116" t="s">
        <v>173</v>
      </c>
      <c r="G68" s="116">
        <v>193968211899</v>
      </c>
      <c r="H68" s="117" t="s">
        <v>306</v>
      </c>
      <c r="I68" s="124" t="s">
        <v>230</v>
      </c>
      <c r="J68" s="118" t="s">
        <v>307</v>
      </c>
      <c r="K68" s="124" t="s">
        <v>248</v>
      </c>
      <c r="L68" s="116">
        <v>160</v>
      </c>
    </row>
    <row r="69" spans="1:12" ht="15" customHeight="1" thickBot="1">
      <c r="A69" s="115">
        <v>1</v>
      </c>
      <c r="B69" s="116" t="s">
        <v>164</v>
      </c>
      <c r="C69" s="116" t="s">
        <v>165</v>
      </c>
      <c r="D69" s="116">
        <v>2300036733</v>
      </c>
      <c r="E69" s="116">
        <v>3161347364</v>
      </c>
      <c r="F69" s="116" t="s">
        <v>188</v>
      </c>
      <c r="G69" s="116">
        <v>193968211813</v>
      </c>
      <c r="H69" s="117" t="s">
        <v>308</v>
      </c>
      <c r="I69" s="124" t="s">
        <v>230</v>
      </c>
      <c r="J69" s="118" t="s">
        <v>309</v>
      </c>
      <c r="K69" s="124" t="s">
        <v>290</v>
      </c>
      <c r="L69" s="116">
        <v>100</v>
      </c>
    </row>
    <row r="70" spans="1:12" ht="15" customHeight="1" thickBot="1">
      <c r="A70" s="115">
        <v>1</v>
      </c>
      <c r="B70" s="116" t="s">
        <v>164</v>
      </c>
      <c r="C70" s="116" t="s">
        <v>165</v>
      </c>
      <c r="D70" s="116">
        <v>2300036733</v>
      </c>
      <c r="E70" s="116">
        <v>3161347364</v>
      </c>
      <c r="F70" s="116" t="s">
        <v>166</v>
      </c>
      <c r="G70" s="116">
        <v>193968211974</v>
      </c>
      <c r="H70" s="117" t="s">
        <v>310</v>
      </c>
      <c r="I70" s="124" t="s">
        <v>230</v>
      </c>
      <c r="J70" s="118" t="s">
        <v>311</v>
      </c>
      <c r="K70" s="124" t="s">
        <v>293</v>
      </c>
      <c r="L70" s="116">
        <v>140</v>
      </c>
    </row>
    <row r="71" spans="1:12" ht="15" customHeight="1" thickBot="1">
      <c r="A71" s="115">
        <v>1</v>
      </c>
      <c r="B71" s="116" t="s">
        <v>164</v>
      </c>
      <c r="C71" s="116" t="s">
        <v>165</v>
      </c>
      <c r="D71" s="116">
        <v>2300036733</v>
      </c>
      <c r="E71" s="116">
        <v>3161347364</v>
      </c>
      <c r="F71" s="116" t="s">
        <v>178</v>
      </c>
      <c r="G71" s="116">
        <v>193968216290</v>
      </c>
      <c r="H71" s="117" t="s">
        <v>312</v>
      </c>
      <c r="I71" s="124" t="s">
        <v>230</v>
      </c>
      <c r="J71" s="118" t="s">
        <v>313</v>
      </c>
      <c r="K71" s="124" t="s">
        <v>296</v>
      </c>
      <c r="L71" s="116">
        <v>90</v>
      </c>
    </row>
    <row r="72" spans="1:12" ht="15" customHeight="1" thickBot="1">
      <c r="A72" s="115">
        <v>1</v>
      </c>
      <c r="B72" s="116" t="s">
        <v>164</v>
      </c>
      <c r="C72" s="116" t="s">
        <v>165</v>
      </c>
      <c r="D72" s="116">
        <v>2300036733</v>
      </c>
      <c r="E72" s="116">
        <v>3161347364</v>
      </c>
      <c r="F72" s="116" t="s">
        <v>173</v>
      </c>
      <c r="G72" s="116">
        <v>193968211882</v>
      </c>
      <c r="H72" s="117" t="s">
        <v>314</v>
      </c>
      <c r="I72" s="124" t="s">
        <v>230</v>
      </c>
      <c r="J72" s="118" t="s">
        <v>315</v>
      </c>
      <c r="K72" s="124" t="s">
        <v>248</v>
      </c>
      <c r="L72" s="116">
        <v>160</v>
      </c>
    </row>
    <row r="73" spans="1:12" ht="15" customHeight="1" thickBot="1">
      <c r="A73" s="115">
        <v>1</v>
      </c>
      <c r="B73" s="116" t="s">
        <v>164</v>
      </c>
      <c r="C73" s="116" t="s">
        <v>165</v>
      </c>
      <c r="D73" s="116">
        <v>2300036733</v>
      </c>
      <c r="E73" s="116">
        <v>3161347364</v>
      </c>
      <c r="F73" s="116" t="s">
        <v>166</v>
      </c>
      <c r="G73" s="116">
        <v>193968211967</v>
      </c>
      <c r="H73" s="117" t="s">
        <v>167</v>
      </c>
      <c r="I73" s="124" t="s">
        <v>230</v>
      </c>
      <c r="J73" s="118" t="s">
        <v>168</v>
      </c>
      <c r="K73" s="124" t="s">
        <v>293</v>
      </c>
      <c r="L73" s="116">
        <v>140</v>
      </c>
    </row>
    <row r="74" spans="1:12" ht="15" customHeight="1" thickBot="1">
      <c r="A74" s="115">
        <v>1</v>
      </c>
      <c r="B74" s="116" t="s">
        <v>164</v>
      </c>
      <c r="C74" s="116" t="s">
        <v>165</v>
      </c>
      <c r="D74" s="116">
        <v>2300036733</v>
      </c>
      <c r="E74" s="116">
        <v>3161347364</v>
      </c>
      <c r="F74" s="116" t="s">
        <v>178</v>
      </c>
      <c r="G74" s="116">
        <v>193968216283</v>
      </c>
      <c r="H74" s="117" t="s">
        <v>316</v>
      </c>
      <c r="I74" s="124" t="s">
        <v>230</v>
      </c>
      <c r="J74" s="118" t="s">
        <v>317</v>
      </c>
      <c r="K74" s="124" t="s">
        <v>296</v>
      </c>
      <c r="L74" s="116">
        <v>90</v>
      </c>
    </row>
    <row r="75" spans="1:12" ht="15" customHeight="1" thickBot="1">
      <c r="A75" s="115">
        <v>1</v>
      </c>
      <c r="B75" s="116" t="s">
        <v>164</v>
      </c>
      <c r="C75" s="116" t="s">
        <v>165</v>
      </c>
      <c r="D75" s="116">
        <v>2300036733</v>
      </c>
      <c r="E75" s="116">
        <v>3161347364</v>
      </c>
      <c r="F75" s="116" t="s">
        <v>173</v>
      </c>
      <c r="G75" s="116">
        <v>193968211929</v>
      </c>
      <c r="H75" s="117" t="s">
        <v>174</v>
      </c>
      <c r="I75" s="124" t="s">
        <v>230</v>
      </c>
      <c r="J75" s="118" t="s">
        <v>175</v>
      </c>
      <c r="K75" s="124" t="s">
        <v>241</v>
      </c>
      <c r="L75" s="116">
        <v>80</v>
      </c>
    </row>
    <row r="76" spans="1:12" ht="15" customHeight="1" thickBot="1">
      <c r="A76" s="115">
        <v>1</v>
      </c>
      <c r="B76" s="116" t="s">
        <v>164</v>
      </c>
      <c r="C76" s="116" t="s">
        <v>165</v>
      </c>
      <c r="D76" s="116">
        <v>2300036733</v>
      </c>
      <c r="E76" s="116">
        <v>3161347364</v>
      </c>
      <c r="F76" s="116" t="s">
        <v>188</v>
      </c>
      <c r="G76" s="116">
        <v>193968211844</v>
      </c>
      <c r="H76" s="117" t="s">
        <v>318</v>
      </c>
      <c r="I76" s="124" t="s">
        <v>230</v>
      </c>
      <c r="J76" s="118" t="s">
        <v>319</v>
      </c>
      <c r="K76" s="124" t="s">
        <v>290</v>
      </c>
      <c r="L76" s="116">
        <v>100</v>
      </c>
    </row>
    <row r="77" spans="1:12" ht="15" customHeight="1" thickBot="1">
      <c r="A77" s="115">
        <v>1</v>
      </c>
      <c r="B77" s="116" t="s">
        <v>164</v>
      </c>
      <c r="C77" s="116" t="s">
        <v>165</v>
      </c>
      <c r="D77" s="116">
        <v>2300036733</v>
      </c>
      <c r="E77" s="116">
        <v>3161347364</v>
      </c>
      <c r="F77" s="116" t="s">
        <v>166</v>
      </c>
      <c r="G77" s="116">
        <v>193968212001</v>
      </c>
      <c r="H77" s="117" t="s">
        <v>176</v>
      </c>
      <c r="I77" s="124" t="s">
        <v>230</v>
      </c>
      <c r="J77" s="118" t="s">
        <v>177</v>
      </c>
      <c r="K77" s="124" t="s">
        <v>285</v>
      </c>
      <c r="L77" s="116">
        <v>70</v>
      </c>
    </row>
    <row r="78" spans="1:12" ht="15" customHeight="1" thickBot="1">
      <c r="A78" s="115">
        <v>1</v>
      </c>
      <c r="B78" s="116" t="s">
        <v>164</v>
      </c>
      <c r="C78" s="116" t="s">
        <v>165</v>
      </c>
      <c r="D78" s="116">
        <v>2300036733</v>
      </c>
      <c r="E78" s="116">
        <v>3161347364</v>
      </c>
      <c r="F78" s="116" t="s">
        <v>178</v>
      </c>
      <c r="G78" s="116">
        <v>193968216313</v>
      </c>
      <c r="H78" s="117" t="s">
        <v>179</v>
      </c>
      <c r="I78" s="124" t="s">
        <v>230</v>
      </c>
      <c r="J78" s="118" t="s">
        <v>180</v>
      </c>
      <c r="K78" s="124" t="s">
        <v>296</v>
      </c>
      <c r="L78" s="116">
        <v>90</v>
      </c>
    </row>
    <row r="79" spans="1:12" ht="15" customHeight="1" thickBot="1">
      <c r="A79" s="115">
        <v>1</v>
      </c>
      <c r="B79" s="116" t="s">
        <v>164</v>
      </c>
      <c r="C79" s="116" t="s">
        <v>165</v>
      </c>
      <c r="D79" s="116">
        <v>2300036733</v>
      </c>
      <c r="E79" s="116">
        <v>3161347364</v>
      </c>
      <c r="F79" s="116" t="s">
        <v>173</v>
      </c>
      <c r="G79" s="116">
        <v>193968212131</v>
      </c>
      <c r="H79" s="117" t="s">
        <v>181</v>
      </c>
      <c r="I79" s="124" t="s">
        <v>230</v>
      </c>
      <c r="J79" s="118" t="s">
        <v>182</v>
      </c>
      <c r="K79" s="124" t="s">
        <v>241</v>
      </c>
      <c r="L79" s="116">
        <v>80</v>
      </c>
    </row>
    <row r="80" spans="1:12" ht="15" customHeight="1" thickBot="1">
      <c r="A80" s="115">
        <v>1</v>
      </c>
      <c r="B80" s="116" t="s">
        <v>164</v>
      </c>
      <c r="C80" s="116" t="s">
        <v>165</v>
      </c>
      <c r="D80" s="116">
        <v>2300036733</v>
      </c>
      <c r="E80" s="116">
        <v>3161347364</v>
      </c>
      <c r="F80" s="116" t="s">
        <v>178</v>
      </c>
      <c r="G80" s="116">
        <v>193968212117</v>
      </c>
      <c r="H80" s="117" t="s">
        <v>185</v>
      </c>
      <c r="I80" s="124" t="s">
        <v>320</v>
      </c>
      <c r="J80" s="118" t="s">
        <v>321</v>
      </c>
      <c r="K80" s="124" t="s">
        <v>322</v>
      </c>
      <c r="L80" s="116">
        <v>90</v>
      </c>
    </row>
    <row r="81" spans="1:12" ht="15" customHeight="1" thickBot="1">
      <c r="A81" s="115">
        <v>1</v>
      </c>
      <c r="B81" s="116" t="s">
        <v>164</v>
      </c>
      <c r="C81" s="116" t="s">
        <v>165</v>
      </c>
      <c r="D81" s="116">
        <v>2300036733</v>
      </c>
      <c r="E81" s="116">
        <v>3161347364</v>
      </c>
      <c r="F81" s="116" t="s">
        <v>173</v>
      </c>
      <c r="G81" s="116">
        <v>193968212186</v>
      </c>
      <c r="H81" s="117" t="s">
        <v>186</v>
      </c>
      <c r="I81" s="124" t="s">
        <v>230</v>
      </c>
      <c r="J81" s="118" t="s">
        <v>187</v>
      </c>
      <c r="K81" s="124" t="s">
        <v>248</v>
      </c>
      <c r="L81" s="116">
        <v>160</v>
      </c>
    </row>
    <row r="82" spans="1:12" ht="15" customHeight="1" thickBot="1">
      <c r="A82" s="115">
        <v>1</v>
      </c>
      <c r="B82" s="116" t="s">
        <v>164</v>
      </c>
      <c r="C82" s="116" t="s">
        <v>165</v>
      </c>
      <c r="D82" s="116">
        <v>2300036733</v>
      </c>
      <c r="E82" s="116">
        <v>3161347364</v>
      </c>
      <c r="F82" s="116" t="s">
        <v>188</v>
      </c>
      <c r="G82" s="116">
        <v>193968212179</v>
      </c>
      <c r="H82" s="117" t="s">
        <v>189</v>
      </c>
      <c r="I82" s="124" t="s">
        <v>230</v>
      </c>
      <c r="J82" s="118" t="s">
        <v>190</v>
      </c>
      <c r="K82" s="124" t="s">
        <v>290</v>
      </c>
      <c r="L82" s="116">
        <v>100</v>
      </c>
    </row>
    <row r="83" spans="1:12" ht="15" customHeight="1" thickBot="1">
      <c r="A83" s="115">
        <v>1</v>
      </c>
      <c r="B83" s="116" t="s">
        <v>164</v>
      </c>
      <c r="C83" s="116" t="s">
        <v>165</v>
      </c>
      <c r="D83" s="116">
        <v>2300036733</v>
      </c>
      <c r="E83" s="116">
        <v>3161347364</v>
      </c>
      <c r="F83" s="116" t="s">
        <v>166</v>
      </c>
      <c r="G83" s="116">
        <v>193968212193</v>
      </c>
      <c r="H83" s="117" t="s">
        <v>191</v>
      </c>
      <c r="I83" s="124" t="s">
        <v>230</v>
      </c>
      <c r="J83" s="118" t="s">
        <v>192</v>
      </c>
      <c r="K83" s="124" t="s">
        <v>293</v>
      </c>
      <c r="L83" s="116">
        <v>140</v>
      </c>
    </row>
    <row r="84" spans="1:12" ht="15" customHeight="1" thickBot="1">
      <c r="A84" s="115">
        <v>1</v>
      </c>
      <c r="B84" s="116" t="s">
        <v>164</v>
      </c>
      <c r="C84" s="116" t="s">
        <v>165</v>
      </c>
      <c r="D84" s="116">
        <v>2300036733</v>
      </c>
      <c r="E84" s="116">
        <v>3161347364</v>
      </c>
      <c r="F84" s="116" t="s">
        <v>173</v>
      </c>
      <c r="G84" s="116">
        <v>193968212339</v>
      </c>
      <c r="H84" s="117" t="s">
        <v>202</v>
      </c>
      <c r="I84" s="124" t="s">
        <v>230</v>
      </c>
      <c r="J84" s="118" t="s">
        <v>203</v>
      </c>
      <c r="K84" s="124" t="s">
        <v>241</v>
      </c>
      <c r="L84" s="116">
        <v>80</v>
      </c>
    </row>
    <row r="85" spans="1:12" ht="15" customHeight="1" thickBot="1">
      <c r="A85" s="115">
        <v>1</v>
      </c>
      <c r="B85" s="116" t="s">
        <v>164</v>
      </c>
      <c r="C85" s="116" t="s">
        <v>165</v>
      </c>
      <c r="D85" s="116">
        <v>2300036733</v>
      </c>
      <c r="E85" s="116">
        <v>3161347364</v>
      </c>
      <c r="F85" s="116" t="s">
        <v>173</v>
      </c>
      <c r="G85" s="116">
        <v>193968212384</v>
      </c>
      <c r="H85" s="117" t="s">
        <v>208</v>
      </c>
      <c r="I85" s="124" t="s">
        <v>230</v>
      </c>
      <c r="J85" s="118" t="s">
        <v>209</v>
      </c>
      <c r="K85" s="124" t="s">
        <v>241</v>
      </c>
      <c r="L85" s="116">
        <v>80</v>
      </c>
    </row>
    <row r="86" spans="1:12" ht="15" customHeight="1" thickBot="1">
      <c r="A86" s="115">
        <v>1</v>
      </c>
      <c r="B86" s="116" t="s">
        <v>164</v>
      </c>
      <c r="C86" s="116" t="s">
        <v>165</v>
      </c>
      <c r="D86" s="116">
        <v>2300036733</v>
      </c>
      <c r="E86" s="116">
        <v>3161347364</v>
      </c>
      <c r="F86" s="116" t="s">
        <v>188</v>
      </c>
      <c r="G86" s="116">
        <v>193968212377</v>
      </c>
      <c r="H86" s="117" t="s">
        <v>210</v>
      </c>
      <c r="I86" s="124" t="s">
        <v>230</v>
      </c>
      <c r="J86" s="118" t="s">
        <v>211</v>
      </c>
      <c r="K86" s="124" t="s">
        <v>290</v>
      </c>
      <c r="L86" s="116">
        <v>100</v>
      </c>
    </row>
    <row r="87" spans="1:12" ht="15" customHeight="1" thickBot="1">
      <c r="A87" s="115">
        <v>1</v>
      </c>
      <c r="B87" s="116" t="s">
        <v>164</v>
      </c>
      <c r="C87" s="116" t="s">
        <v>165</v>
      </c>
      <c r="D87" s="116">
        <v>2300036733</v>
      </c>
      <c r="E87" s="116">
        <v>3161347364</v>
      </c>
      <c r="F87" s="116" t="s">
        <v>178</v>
      </c>
      <c r="G87" s="116">
        <v>193968212360</v>
      </c>
      <c r="H87" s="117" t="s">
        <v>323</v>
      </c>
      <c r="I87" s="124" t="s">
        <v>324</v>
      </c>
      <c r="J87" s="118" t="s">
        <v>325</v>
      </c>
      <c r="K87" s="124" t="s">
        <v>326</v>
      </c>
      <c r="L87" s="116">
        <v>90</v>
      </c>
    </row>
    <row r="88" spans="1:12" ht="15" customHeight="1" thickBot="1">
      <c r="A88" s="115">
        <v>1</v>
      </c>
      <c r="B88" s="116" t="s">
        <v>164</v>
      </c>
      <c r="C88" s="116" t="s">
        <v>165</v>
      </c>
      <c r="D88" s="116">
        <v>2300036733</v>
      </c>
      <c r="E88" s="116">
        <v>3161347364</v>
      </c>
      <c r="F88" s="116" t="s">
        <v>166</v>
      </c>
      <c r="G88" s="116">
        <v>193968247607</v>
      </c>
      <c r="H88" s="117" t="s">
        <v>220</v>
      </c>
      <c r="I88" s="124" t="s">
        <v>230</v>
      </c>
      <c r="J88" s="118" t="s">
        <v>327</v>
      </c>
      <c r="K88" s="124" t="s">
        <v>293</v>
      </c>
      <c r="L88" s="116">
        <v>140</v>
      </c>
    </row>
    <row r="89" spans="1:12" ht="15" customHeight="1" thickBot="1">
      <c r="A89" s="115">
        <v>1</v>
      </c>
      <c r="B89" s="116" t="s">
        <v>164</v>
      </c>
      <c r="C89" s="116" t="s">
        <v>165</v>
      </c>
      <c r="D89" s="116">
        <v>2300036733</v>
      </c>
      <c r="E89" s="116">
        <v>3161347364</v>
      </c>
      <c r="F89" s="116" t="s">
        <v>173</v>
      </c>
      <c r="G89" s="116">
        <v>193968247591</v>
      </c>
      <c r="H89" s="117" t="s">
        <v>222</v>
      </c>
      <c r="I89" s="124" t="s">
        <v>230</v>
      </c>
      <c r="J89" s="118" t="s">
        <v>223</v>
      </c>
      <c r="K89" s="124" t="s">
        <v>241</v>
      </c>
      <c r="L89" s="116">
        <v>80</v>
      </c>
    </row>
    <row r="90" spans="1:12" ht="15" customHeight="1" thickBot="1">
      <c r="A90" s="115">
        <v>1</v>
      </c>
      <c r="B90" s="116" t="s">
        <v>164</v>
      </c>
      <c r="C90" s="116" t="s">
        <v>165</v>
      </c>
      <c r="D90" s="116">
        <v>2300036733</v>
      </c>
      <c r="E90" s="116">
        <v>3161347364</v>
      </c>
      <c r="F90" s="116" t="s">
        <v>188</v>
      </c>
      <c r="G90" s="116">
        <v>193968247584</v>
      </c>
      <c r="H90" s="117" t="s">
        <v>224</v>
      </c>
      <c r="I90" s="124" t="s">
        <v>230</v>
      </c>
      <c r="J90" s="117" t="s">
        <v>224</v>
      </c>
      <c r="K90" s="124" t="s">
        <v>290</v>
      </c>
      <c r="L90" s="116">
        <v>100</v>
      </c>
    </row>
    <row r="91" spans="1:12" ht="15" customHeight="1" thickBot="1">
      <c r="A91" s="115">
        <v>1</v>
      </c>
      <c r="B91" s="116" t="s">
        <v>164</v>
      </c>
      <c r="C91" s="116" t="s">
        <v>165</v>
      </c>
      <c r="D91" s="116">
        <v>2300037026</v>
      </c>
      <c r="E91" s="116">
        <v>3161347838</v>
      </c>
      <c r="F91" s="116" t="s">
        <v>188</v>
      </c>
      <c r="G91" s="116">
        <v>193968212124</v>
      </c>
      <c r="H91" s="117" t="s">
        <v>328</v>
      </c>
      <c r="I91" s="124" t="s">
        <v>290</v>
      </c>
      <c r="J91" s="124" t="s">
        <v>230</v>
      </c>
      <c r="K91" s="124" t="s">
        <v>230</v>
      </c>
      <c r="L91" s="116">
        <v>100</v>
      </c>
    </row>
    <row r="92" spans="1:12" ht="15" customHeight="1" thickBot="1">
      <c r="A92" s="115">
        <v>1</v>
      </c>
      <c r="B92" s="116" t="s">
        <v>164</v>
      </c>
      <c r="C92" s="116" t="s">
        <v>165</v>
      </c>
      <c r="D92" s="116">
        <v>2300037026</v>
      </c>
      <c r="E92" s="116">
        <v>3161347838</v>
      </c>
      <c r="F92" s="116" t="s">
        <v>178</v>
      </c>
      <c r="G92" s="116">
        <v>193968212162</v>
      </c>
      <c r="H92" s="117" t="s">
        <v>193</v>
      </c>
      <c r="I92" s="124" t="s">
        <v>230</v>
      </c>
      <c r="J92" s="118" t="s">
        <v>194</v>
      </c>
      <c r="K92" s="124" t="s">
        <v>329</v>
      </c>
      <c r="L92" s="116">
        <v>90</v>
      </c>
    </row>
    <row r="93" spans="1:12" ht="15" customHeight="1" thickBot="1">
      <c r="A93" s="115">
        <v>1</v>
      </c>
      <c r="B93" s="116" t="s">
        <v>164</v>
      </c>
      <c r="C93" s="116" t="s">
        <v>165</v>
      </c>
      <c r="D93" s="116">
        <v>2300037017</v>
      </c>
      <c r="E93" s="116">
        <v>3161347825</v>
      </c>
      <c r="F93" s="116" t="s">
        <v>173</v>
      </c>
      <c r="G93" s="116">
        <v>193968211875</v>
      </c>
      <c r="H93" s="117" t="s">
        <v>274</v>
      </c>
      <c r="I93" s="124" t="s">
        <v>230</v>
      </c>
      <c r="J93" s="118" t="s">
        <v>275</v>
      </c>
      <c r="K93" s="124" t="s">
        <v>330</v>
      </c>
      <c r="L93" s="116">
        <v>1200</v>
      </c>
    </row>
    <row r="94" spans="1:12" ht="15" customHeight="1" thickBot="1">
      <c r="A94" s="115">
        <v>2</v>
      </c>
      <c r="B94" s="116" t="s">
        <v>164</v>
      </c>
      <c r="C94" s="116" t="s">
        <v>165</v>
      </c>
      <c r="D94" s="116">
        <v>2300037017</v>
      </c>
      <c r="E94" s="116">
        <v>3161347825</v>
      </c>
      <c r="F94" s="116" t="s">
        <v>173</v>
      </c>
      <c r="G94" s="116">
        <v>193968211875</v>
      </c>
      <c r="H94" s="117" t="s">
        <v>274</v>
      </c>
      <c r="I94" s="124" t="s">
        <v>230</v>
      </c>
      <c r="J94" s="118" t="s">
        <v>275</v>
      </c>
      <c r="K94" s="124" t="s">
        <v>276</v>
      </c>
      <c r="L94" s="116">
        <v>560</v>
      </c>
    </row>
    <row r="95" spans="1:12" ht="15" customHeight="1" thickBot="1">
      <c r="A95" s="115">
        <v>2</v>
      </c>
      <c r="B95" s="116" t="s">
        <v>164</v>
      </c>
      <c r="C95" s="116" t="s">
        <v>165</v>
      </c>
      <c r="D95" s="116">
        <v>2300037017</v>
      </c>
      <c r="E95" s="116">
        <v>3161347825</v>
      </c>
      <c r="F95" s="116" t="s">
        <v>188</v>
      </c>
      <c r="G95" s="116">
        <v>193968211790</v>
      </c>
      <c r="H95" s="117" t="s">
        <v>331</v>
      </c>
      <c r="I95" s="124" t="s">
        <v>230</v>
      </c>
      <c r="J95" s="118" t="s">
        <v>332</v>
      </c>
      <c r="K95" s="124" t="s">
        <v>333</v>
      </c>
      <c r="L95" s="116">
        <v>700</v>
      </c>
    </row>
    <row r="96" spans="1:12" ht="15" customHeight="1" thickBot="1">
      <c r="A96" s="115">
        <v>2</v>
      </c>
      <c r="B96" s="116" t="s">
        <v>164</v>
      </c>
      <c r="C96" s="116" t="s">
        <v>165</v>
      </c>
      <c r="D96" s="116">
        <v>2300037017</v>
      </c>
      <c r="E96" s="116">
        <v>3161347825</v>
      </c>
      <c r="F96" s="116" t="s">
        <v>166</v>
      </c>
      <c r="G96" s="116">
        <v>193968211950</v>
      </c>
      <c r="H96" s="117" t="s">
        <v>277</v>
      </c>
      <c r="I96" s="124" t="s">
        <v>230</v>
      </c>
      <c r="J96" s="118" t="s">
        <v>278</v>
      </c>
      <c r="K96" s="124" t="s">
        <v>334</v>
      </c>
      <c r="L96" s="116">
        <v>1190</v>
      </c>
    </row>
    <row r="97" spans="1:12" ht="15" customHeight="1" thickBot="1">
      <c r="A97" s="115">
        <v>2</v>
      </c>
      <c r="B97" s="116" t="s">
        <v>164</v>
      </c>
      <c r="C97" s="116" t="s">
        <v>165</v>
      </c>
      <c r="D97" s="116">
        <v>2300037017</v>
      </c>
      <c r="E97" s="116">
        <v>3161347825</v>
      </c>
      <c r="F97" s="116" t="s">
        <v>178</v>
      </c>
      <c r="G97" s="116">
        <v>193968221492</v>
      </c>
      <c r="H97" s="117" t="s">
        <v>280</v>
      </c>
      <c r="I97" s="124" t="s">
        <v>230</v>
      </c>
      <c r="J97" s="118" t="s">
        <v>281</v>
      </c>
      <c r="K97" s="124" t="s">
        <v>335</v>
      </c>
      <c r="L97" s="116">
        <v>450</v>
      </c>
    </row>
    <row r="98" spans="1:12" ht="15" customHeight="1" thickBot="1">
      <c r="A98" s="115">
        <v>2</v>
      </c>
      <c r="B98" s="116" t="s">
        <v>164</v>
      </c>
      <c r="C98" s="116" t="s">
        <v>165</v>
      </c>
      <c r="D98" s="116">
        <v>2300037017</v>
      </c>
      <c r="E98" s="116">
        <v>3161347825</v>
      </c>
      <c r="F98" s="116" t="s">
        <v>170</v>
      </c>
      <c r="G98" s="116">
        <v>193968212032</v>
      </c>
      <c r="H98" s="117" t="s">
        <v>283</v>
      </c>
      <c r="I98" s="124" t="s">
        <v>270</v>
      </c>
      <c r="J98" s="118" t="s">
        <v>284</v>
      </c>
      <c r="K98" s="124" t="s">
        <v>336</v>
      </c>
      <c r="L98" s="116">
        <v>140</v>
      </c>
    </row>
    <row r="99" spans="1:12" ht="15" customHeight="1" thickBot="1">
      <c r="A99" s="115">
        <v>2</v>
      </c>
      <c r="B99" s="116" t="s">
        <v>164</v>
      </c>
      <c r="C99" s="116" t="s">
        <v>165</v>
      </c>
      <c r="D99" s="116">
        <v>2300037017</v>
      </c>
      <c r="E99" s="116">
        <v>3161347825</v>
      </c>
      <c r="F99" s="116" t="s">
        <v>173</v>
      </c>
      <c r="G99" s="116">
        <v>193968211936</v>
      </c>
      <c r="H99" s="117" t="s">
        <v>286</v>
      </c>
      <c r="I99" s="124" t="s">
        <v>337</v>
      </c>
      <c r="J99" s="118" t="s">
        <v>287</v>
      </c>
      <c r="K99" s="124" t="s">
        <v>338</v>
      </c>
      <c r="L99" s="116">
        <v>640</v>
      </c>
    </row>
    <row r="100" spans="1:12" ht="15" customHeight="1" thickBot="1">
      <c r="A100" s="115">
        <v>2</v>
      </c>
      <c r="B100" s="116" t="s">
        <v>164</v>
      </c>
      <c r="C100" s="116" t="s">
        <v>165</v>
      </c>
      <c r="D100" s="116">
        <v>2300037017</v>
      </c>
      <c r="E100" s="116">
        <v>3161347825</v>
      </c>
      <c r="F100" s="116" t="s">
        <v>188</v>
      </c>
      <c r="G100" s="116">
        <v>193968211851</v>
      </c>
      <c r="H100" s="117" t="s">
        <v>288</v>
      </c>
      <c r="I100" s="124" t="s">
        <v>339</v>
      </c>
      <c r="J100" s="118" t="s">
        <v>289</v>
      </c>
      <c r="K100" s="124" t="s">
        <v>340</v>
      </c>
      <c r="L100" s="116">
        <v>300</v>
      </c>
    </row>
    <row r="101" spans="1:12" ht="15" customHeight="1" thickBot="1">
      <c r="A101" s="115">
        <v>2</v>
      </c>
      <c r="B101" s="116" t="s">
        <v>164</v>
      </c>
      <c r="C101" s="116" t="s">
        <v>165</v>
      </c>
      <c r="D101" s="116">
        <v>2300037017</v>
      </c>
      <c r="E101" s="116">
        <v>3161347825</v>
      </c>
      <c r="F101" s="116" t="s">
        <v>166</v>
      </c>
      <c r="G101" s="116">
        <v>193968212018</v>
      </c>
      <c r="H101" s="117" t="s">
        <v>291</v>
      </c>
      <c r="I101" s="124" t="s">
        <v>230</v>
      </c>
      <c r="J101" s="118" t="s">
        <v>292</v>
      </c>
      <c r="K101" s="124" t="s">
        <v>341</v>
      </c>
      <c r="L101" s="116">
        <v>350</v>
      </c>
    </row>
    <row r="102" spans="1:12" ht="15" customHeight="1" thickBot="1">
      <c r="A102" s="115">
        <v>2</v>
      </c>
      <c r="B102" s="116" t="s">
        <v>164</v>
      </c>
      <c r="C102" s="116" t="s">
        <v>165</v>
      </c>
      <c r="D102" s="116">
        <v>2300037017</v>
      </c>
      <c r="E102" s="116">
        <v>3161347825</v>
      </c>
      <c r="F102" s="116" t="s">
        <v>178</v>
      </c>
      <c r="G102" s="116">
        <v>193968221515</v>
      </c>
      <c r="H102" s="117" t="s">
        <v>294</v>
      </c>
      <c r="I102" s="124" t="s">
        <v>230</v>
      </c>
      <c r="J102" s="118" t="s">
        <v>295</v>
      </c>
      <c r="K102" s="124" t="s">
        <v>342</v>
      </c>
      <c r="L102" s="116">
        <v>360</v>
      </c>
    </row>
    <row r="103" spans="1:12" ht="15" customHeight="1" thickBot="1">
      <c r="A103" s="115">
        <v>2</v>
      </c>
      <c r="B103" s="116" t="s">
        <v>164</v>
      </c>
      <c r="C103" s="116" t="s">
        <v>165</v>
      </c>
      <c r="D103" s="116">
        <v>2300037017</v>
      </c>
      <c r="E103" s="116">
        <v>3161347825</v>
      </c>
      <c r="F103" s="116" t="s">
        <v>170</v>
      </c>
      <c r="G103" s="116">
        <v>193968212094</v>
      </c>
      <c r="H103" s="117" t="s">
        <v>343</v>
      </c>
      <c r="I103" s="124" t="s">
        <v>230</v>
      </c>
      <c r="J103" s="118" t="s">
        <v>344</v>
      </c>
      <c r="K103" s="124" t="s">
        <v>285</v>
      </c>
      <c r="L103" s="116">
        <v>70</v>
      </c>
    </row>
    <row r="104" spans="1:12" ht="15" customHeight="1" thickBot="1">
      <c r="A104" s="115">
        <v>2</v>
      </c>
      <c r="B104" s="116" t="s">
        <v>164</v>
      </c>
      <c r="C104" s="116" t="s">
        <v>165</v>
      </c>
      <c r="D104" s="116">
        <v>2300037017</v>
      </c>
      <c r="E104" s="116">
        <v>3161347825</v>
      </c>
      <c r="F104" s="116" t="s">
        <v>173</v>
      </c>
      <c r="G104" s="116">
        <v>193968211905</v>
      </c>
      <c r="H104" s="117" t="s">
        <v>297</v>
      </c>
      <c r="I104" s="124" t="s">
        <v>345</v>
      </c>
      <c r="J104" s="118" t="s">
        <v>346</v>
      </c>
      <c r="K104" s="124" t="s">
        <v>347</v>
      </c>
      <c r="L104" s="116">
        <v>320</v>
      </c>
    </row>
    <row r="105" spans="1:12" ht="15" customHeight="1" thickBot="1">
      <c r="A105" s="115">
        <v>2</v>
      </c>
      <c r="B105" s="116" t="s">
        <v>164</v>
      </c>
      <c r="C105" s="116" t="s">
        <v>165</v>
      </c>
      <c r="D105" s="116">
        <v>2300037017</v>
      </c>
      <c r="E105" s="116">
        <v>3161347825</v>
      </c>
      <c r="F105" s="116" t="s">
        <v>188</v>
      </c>
      <c r="G105" s="116">
        <v>193968211820</v>
      </c>
      <c r="H105" s="117" t="s">
        <v>298</v>
      </c>
      <c r="I105" s="124" t="s">
        <v>348</v>
      </c>
      <c r="J105" s="118" t="s">
        <v>299</v>
      </c>
      <c r="K105" s="124" t="s">
        <v>349</v>
      </c>
      <c r="L105" s="116">
        <v>100</v>
      </c>
    </row>
    <row r="106" spans="1:12" ht="15" customHeight="1" thickBot="1">
      <c r="A106" s="115">
        <v>2</v>
      </c>
      <c r="B106" s="116" t="s">
        <v>164</v>
      </c>
      <c r="C106" s="116" t="s">
        <v>165</v>
      </c>
      <c r="D106" s="116">
        <v>2300037017</v>
      </c>
      <c r="E106" s="116">
        <v>3161347825</v>
      </c>
      <c r="F106" s="116" t="s">
        <v>166</v>
      </c>
      <c r="G106" s="116">
        <v>193968211981</v>
      </c>
      <c r="H106" s="117" t="s">
        <v>300</v>
      </c>
      <c r="I106" s="124" t="s">
        <v>350</v>
      </c>
      <c r="J106" s="118" t="s">
        <v>301</v>
      </c>
      <c r="K106" s="124" t="s">
        <v>351</v>
      </c>
      <c r="L106" s="116">
        <v>140</v>
      </c>
    </row>
    <row r="107" spans="1:12" ht="15" customHeight="1" thickBot="1">
      <c r="A107" s="115">
        <v>2</v>
      </c>
      <c r="B107" s="116" t="s">
        <v>164</v>
      </c>
      <c r="C107" s="116" t="s">
        <v>165</v>
      </c>
      <c r="D107" s="116">
        <v>2300037017</v>
      </c>
      <c r="E107" s="116">
        <v>3161347825</v>
      </c>
      <c r="F107" s="116" t="s">
        <v>178</v>
      </c>
      <c r="G107" s="116">
        <v>193968216306</v>
      </c>
      <c r="H107" s="117" t="s">
        <v>302</v>
      </c>
      <c r="I107" s="124" t="s">
        <v>352</v>
      </c>
      <c r="J107" s="118" t="s">
        <v>303</v>
      </c>
      <c r="K107" s="124" t="s">
        <v>352</v>
      </c>
      <c r="L107" s="116">
        <v>90</v>
      </c>
    </row>
    <row r="108" spans="1:12" ht="15" customHeight="1" thickBot="1">
      <c r="A108" s="115">
        <v>2</v>
      </c>
      <c r="B108" s="116" t="s">
        <v>164</v>
      </c>
      <c r="C108" s="116" t="s">
        <v>165</v>
      </c>
      <c r="D108" s="116">
        <v>2300037017</v>
      </c>
      <c r="E108" s="116">
        <v>3161347825</v>
      </c>
      <c r="F108" s="116" t="s">
        <v>173</v>
      </c>
      <c r="G108" s="116">
        <v>193968211899</v>
      </c>
      <c r="H108" s="117" t="s">
        <v>306</v>
      </c>
      <c r="I108" s="124" t="s">
        <v>353</v>
      </c>
      <c r="J108" s="118" t="s">
        <v>307</v>
      </c>
      <c r="K108" s="124" t="s">
        <v>354</v>
      </c>
      <c r="L108" s="116">
        <v>560</v>
      </c>
    </row>
    <row r="109" spans="1:12" ht="15" customHeight="1" thickBot="1">
      <c r="A109" s="115">
        <v>2</v>
      </c>
      <c r="B109" s="116" t="s">
        <v>164</v>
      </c>
      <c r="C109" s="116" t="s">
        <v>165</v>
      </c>
      <c r="D109" s="116">
        <v>2300037017</v>
      </c>
      <c r="E109" s="116">
        <v>3161347825</v>
      </c>
      <c r="F109" s="116" t="s">
        <v>188</v>
      </c>
      <c r="G109" s="116">
        <v>193968211813</v>
      </c>
      <c r="H109" s="117" t="s">
        <v>308</v>
      </c>
      <c r="I109" s="124" t="s">
        <v>266</v>
      </c>
      <c r="J109" s="124" t="s">
        <v>230</v>
      </c>
      <c r="K109" s="124" t="s">
        <v>230</v>
      </c>
      <c r="L109" s="116">
        <v>200</v>
      </c>
    </row>
    <row r="110" spans="1:12" ht="15" customHeight="1" thickBot="1">
      <c r="A110" s="115">
        <v>2</v>
      </c>
      <c r="B110" s="116" t="s">
        <v>164</v>
      </c>
      <c r="C110" s="116" t="s">
        <v>165</v>
      </c>
      <c r="D110" s="116">
        <v>2300037017</v>
      </c>
      <c r="E110" s="116">
        <v>3161347825</v>
      </c>
      <c r="F110" s="116" t="s">
        <v>166</v>
      </c>
      <c r="G110" s="116">
        <v>193968211974</v>
      </c>
      <c r="H110" s="117" t="s">
        <v>310</v>
      </c>
      <c r="I110" s="124" t="s">
        <v>355</v>
      </c>
      <c r="J110" s="118" t="s">
        <v>311</v>
      </c>
      <c r="K110" s="124" t="s">
        <v>356</v>
      </c>
      <c r="L110" s="116">
        <v>420</v>
      </c>
    </row>
    <row r="111" spans="1:12" ht="15" customHeight="1" thickBot="1">
      <c r="A111" s="115">
        <v>2</v>
      </c>
      <c r="B111" s="116" t="s">
        <v>164</v>
      </c>
      <c r="C111" s="116" t="s">
        <v>165</v>
      </c>
      <c r="D111" s="116">
        <v>2300037017</v>
      </c>
      <c r="E111" s="116">
        <v>3161347825</v>
      </c>
      <c r="F111" s="116" t="s">
        <v>178</v>
      </c>
      <c r="G111" s="116">
        <v>193968216290</v>
      </c>
      <c r="H111" s="117" t="s">
        <v>312</v>
      </c>
      <c r="I111" s="124" t="s">
        <v>357</v>
      </c>
      <c r="J111" s="118" t="s">
        <v>313</v>
      </c>
      <c r="K111" s="124" t="s">
        <v>339</v>
      </c>
      <c r="L111" s="116">
        <v>90</v>
      </c>
    </row>
    <row r="112" spans="1:12" ht="15" customHeight="1" thickBot="1">
      <c r="A112" s="115">
        <v>2</v>
      </c>
      <c r="B112" s="116" t="s">
        <v>164</v>
      </c>
      <c r="C112" s="116" t="s">
        <v>165</v>
      </c>
      <c r="D112" s="116">
        <v>2300037017</v>
      </c>
      <c r="E112" s="116">
        <v>3161347825</v>
      </c>
      <c r="F112" s="116" t="s">
        <v>170</v>
      </c>
      <c r="G112" s="116">
        <v>193968212056</v>
      </c>
      <c r="H112" s="117" t="s">
        <v>358</v>
      </c>
      <c r="I112" s="124" t="s">
        <v>359</v>
      </c>
      <c r="J112" s="118" t="s">
        <v>360</v>
      </c>
      <c r="K112" s="124" t="s">
        <v>361</v>
      </c>
      <c r="L112" s="116">
        <v>70</v>
      </c>
    </row>
    <row r="113" spans="1:12" ht="15" customHeight="1" thickBot="1">
      <c r="A113" s="115">
        <v>2</v>
      </c>
      <c r="B113" s="116" t="s">
        <v>164</v>
      </c>
      <c r="C113" s="116" t="s">
        <v>165</v>
      </c>
      <c r="D113" s="116">
        <v>2300037017</v>
      </c>
      <c r="E113" s="116">
        <v>3161347825</v>
      </c>
      <c r="F113" s="116" t="s">
        <v>173</v>
      </c>
      <c r="G113" s="116">
        <v>193968211882</v>
      </c>
      <c r="H113" s="117" t="s">
        <v>314</v>
      </c>
      <c r="I113" s="124" t="s">
        <v>362</v>
      </c>
      <c r="J113" s="118" t="s">
        <v>315</v>
      </c>
      <c r="K113" s="124" t="s">
        <v>363</v>
      </c>
      <c r="L113" s="116">
        <v>480</v>
      </c>
    </row>
    <row r="114" spans="1:12" ht="15" customHeight="1" thickBot="1">
      <c r="A114" s="115">
        <v>2</v>
      </c>
      <c r="B114" s="116" t="s">
        <v>164</v>
      </c>
      <c r="C114" s="116" t="s">
        <v>165</v>
      </c>
      <c r="D114" s="116">
        <v>2300037017</v>
      </c>
      <c r="E114" s="116">
        <v>3161347825</v>
      </c>
      <c r="F114" s="116" t="s">
        <v>188</v>
      </c>
      <c r="G114" s="116">
        <v>193968211806</v>
      </c>
      <c r="H114" s="117" t="s">
        <v>264</v>
      </c>
      <c r="I114" s="124" t="s">
        <v>364</v>
      </c>
      <c r="J114" s="118" t="s">
        <v>265</v>
      </c>
      <c r="K114" s="124" t="s">
        <v>365</v>
      </c>
      <c r="L114" s="116">
        <v>200</v>
      </c>
    </row>
    <row r="115" spans="1:12" ht="15" customHeight="1" thickBot="1">
      <c r="A115" s="115">
        <v>2</v>
      </c>
      <c r="B115" s="116" t="s">
        <v>164</v>
      </c>
      <c r="C115" s="116" t="s">
        <v>165</v>
      </c>
      <c r="D115" s="116">
        <v>2300037017</v>
      </c>
      <c r="E115" s="116">
        <v>3161347825</v>
      </c>
      <c r="F115" s="116" t="s">
        <v>178</v>
      </c>
      <c r="G115" s="116">
        <v>193968216283</v>
      </c>
      <c r="H115" s="117" t="s">
        <v>316</v>
      </c>
      <c r="I115" s="124" t="s">
        <v>366</v>
      </c>
      <c r="J115" s="118" t="s">
        <v>317</v>
      </c>
      <c r="K115" s="124" t="s">
        <v>270</v>
      </c>
      <c r="L115" s="116">
        <v>180</v>
      </c>
    </row>
    <row r="116" spans="1:12" ht="15" customHeight="1" thickBot="1">
      <c r="A116" s="126"/>
      <c r="B116" s="127"/>
      <c r="C116" s="127"/>
      <c r="D116" s="127"/>
      <c r="E116" s="127"/>
      <c r="F116" s="127"/>
      <c r="G116" s="127"/>
      <c r="H116" s="128"/>
      <c r="I116" s="129" t="s">
        <v>367</v>
      </c>
      <c r="J116" s="128"/>
      <c r="K116" s="129" t="s">
        <v>368</v>
      </c>
      <c r="L116" s="127">
        <v>18212</v>
      </c>
    </row>
    <row r="117" spans="1:12" ht="19.95" customHeight="1">
      <c r="A117" s="130"/>
    </row>
    <row r="118" spans="1:12">
      <c r="A118" s="119"/>
    </row>
  </sheetData>
  <autoFilter ref="A2:N30" xr:uid="{00000000-0009-0000-0000-000003000000}">
    <filterColumn colId="9">
      <filters>
        <filter val="AFS0981S450C0H31"/>
        <filter val="AFS0981S450C0H35"/>
        <filter val="AFS0981S450C0H41"/>
        <filter val="AFS0981S450F0H27"/>
        <filter val="AFS0981S450F0H30"/>
        <filter val="AFS0981S450F0H32"/>
        <filter val="AFS0981S450F0H41"/>
        <filter val="AFS0981S450K0H25"/>
        <filter val="AFS0981S450K0H26"/>
        <filter val="AFS0981S450K0H27"/>
        <filter val="AFS0981S450K0H31"/>
        <filter val="AFS0981S450K0H32"/>
        <filter val="AFS0981S450K0H35"/>
        <filter val="AFS0981S450KPH27A"/>
        <filter val="AFS0981S450Q0H25"/>
        <filter val="AFS0981S450Q0H26"/>
        <filter val="AFS0981S450Q0H27"/>
        <filter val="AFS0981S450Q0H30"/>
        <filter val="AFS0981S450Q0H32"/>
        <filter val="AFS0981S450Q0H35"/>
        <filter val="AFS0981S450Q0H41"/>
        <filter val="AFS0981S450T0H25"/>
        <filter val="AFS0981S450T0H27"/>
        <filter val="AFS0981S450T0H30"/>
        <filter val="AFS0981S450T0H35"/>
        <filter val="AFS0981S450T0H41"/>
      </filters>
    </filterColumn>
  </autoFilter>
  <mergeCells count="3">
    <mergeCell ref="J1:K1"/>
    <mergeCell ref="J33:K33"/>
    <mergeCell ref="H33:I33"/>
  </mergeCells>
  <pageMargins left="0.7" right="0.7" top="0.75" bottom="0.75" header="0.3" footer="0.3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L41"/>
  <sheetViews>
    <sheetView topLeftCell="A2" workbookViewId="0">
      <selection activeCell="C21" sqref="C21"/>
    </sheetView>
  </sheetViews>
  <sheetFormatPr defaultRowHeight="14.4"/>
  <cols>
    <col min="1" max="1" width="11" bestFit="1" customWidth="1"/>
    <col min="2" max="2" width="17.6640625" bestFit="1" customWidth="1"/>
    <col min="3" max="3" width="10.33203125" bestFit="1" customWidth="1"/>
    <col min="5" max="5" width="17.6640625" bestFit="1" customWidth="1"/>
    <col min="6" max="6" width="9" bestFit="1" customWidth="1"/>
    <col min="7" max="7" width="4.44140625" bestFit="1" customWidth="1"/>
    <col min="8" max="8" width="28.33203125" bestFit="1" customWidth="1"/>
    <col min="9" max="9" width="22.109375" bestFit="1" customWidth="1"/>
    <col min="10" max="10" width="11.88671875" bestFit="1" customWidth="1"/>
  </cols>
  <sheetData>
    <row r="1" spans="1:12">
      <c r="F1" s="65" t="s">
        <v>369</v>
      </c>
      <c r="G1" s="65" t="s">
        <v>162</v>
      </c>
      <c r="H1" s="65" t="s">
        <v>370</v>
      </c>
    </row>
    <row r="2" spans="1:12">
      <c r="A2">
        <v>9372956122</v>
      </c>
      <c r="B2" s="47" t="s">
        <v>371</v>
      </c>
      <c r="C2" s="48" t="s">
        <v>372</v>
      </c>
      <c r="F2" s="62">
        <v>60086701</v>
      </c>
      <c r="G2" s="62">
        <v>96</v>
      </c>
      <c r="H2" s="65" t="str">
        <f>VLOOKUP(F2,[3]Suvin!$C$3:$I$139,2,0)</f>
        <v>TFAG517ZH1P</v>
      </c>
      <c r="I2" s="62">
        <v>60086701</v>
      </c>
      <c r="J2" t="b">
        <f t="shared" ref="J2:J39" si="0">I2=F2</f>
        <v>1</v>
      </c>
    </row>
    <row r="3" spans="1:12">
      <c r="B3" s="49" t="s">
        <v>373</v>
      </c>
      <c r="C3" s="50" t="s">
        <v>374</v>
      </c>
      <c r="F3" s="62">
        <v>60086703</v>
      </c>
      <c r="G3" s="62">
        <v>240</v>
      </c>
      <c r="H3" s="65" t="str">
        <f>VLOOKUP(F3,[3]Suvin!$C$3:$I$139,2,0)</f>
        <v>TFAG517ZH1P</v>
      </c>
      <c r="I3" s="62">
        <v>60086703</v>
      </c>
      <c r="J3" t="b">
        <f t="shared" si="0"/>
        <v>1</v>
      </c>
    </row>
    <row r="4" spans="1:12">
      <c r="B4" s="49" t="s">
        <v>375</v>
      </c>
      <c r="C4" s="50" t="s">
        <v>374</v>
      </c>
      <c r="F4" s="62">
        <v>60086734</v>
      </c>
      <c r="G4" s="62">
        <v>240</v>
      </c>
      <c r="H4" s="65" t="str">
        <f>VLOOKUP(F4,[3]Suvin!$C$3:$I$139,2,0)</f>
        <v>TFAG517ZH1P</v>
      </c>
      <c r="I4" s="62">
        <v>60086734</v>
      </c>
      <c r="J4" t="b">
        <f t="shared" si="0"/>
        <v>1</v>
      </c>
    </row>
    <row r="5" spans="1:12">
      <c r="B5" s="49" t="s">
        <v>376</v>
      </c>
      <c r="C5" s="50" t="s">
        <v>374</v>
      </c>
      <c r="F5" s="62">
        <v>60086910</v>
      </c>
      <c r="G5" s="62">
        <v>240</v>
      </c>
      <c r="H5" s="65" t="s">
        <v>377</v>
      </c>
      <c r="I5" s="62">
        <v>60086910</v>
      </c>
      <c r="J5" t="b">
        <f t="shared" si="0"/>
        <v>1</v>
      </c>
    </row>
    <row r="6" spans="1:12">
      <c r="A6">
        <v>9372956122</v>
      </c>
      <c r="B6" s="49" t="s">
        <v>378</v>
      </c>
      <c r="C6" s="50" t="s">
        <v>374</v>
      </c>
      <c r="F6" s="62">
        <v>60086914</v>
      </c>
      <c r="G6" s="62">
        <v>440</v>
      </c>
      <c r="H6" s="65" t="s">
        <v>377</v>
      </c>
      <c r="I6" s="62">
        <v>60086914</v>
      </c>
      <c r="J6" t="b">
        <f t="shared" si="0"/>
        <v>1</v>
      </c>
    </row>
    <row r="7" spans="1:12">
      <c r="B7" s="49" t="s">
        <v>379</v>
      </c>
      <c r="C7" s="50" t="s">
        <v>374</v>
      </c>
      <c r="F7" s="62">
        <v>60086919</v>
      </c>
      <c r="G7" s="62">
        <v>120</v>
      </c>
      <c r="H7" s="65" t="s">
        <v>377</v>
      </c>
      <c r="I7" s="62">
        <v>60086919</v>
      </c>
      <c r="J7" t="b">
        <f t="shared" si="0"/>
        <v>1</v>
      </c>
    </row>
    <row r="8" spans="1:12">
      <c r="B8" s="49" t="s">
        <v>380</v>
      </c>
      <c r="C8" s="50" t="s">
        <v>381</v>
      </c>
      <c r="F8" s="62">
        <v>60086924</v>
      </c>
      <c r="G8" s="62">
        <v>240</v>
      </c>
      <c r="H8" s="65" t="s">
        <v>377</v>
      </c>
      <c r="I8" s="62">
        <v>60086924</v>
      </c>
      <c r="J8" t="b">
        <f t="shared" si="0"/>
        <v>1</v>
      </c>
    </row>
    <row r="9" spans="1:12">
      <c r="B9" s="49" t="s">
        <v>382</v>
      </c>
      <c r="C9" s="50" t="s">
        <v>374</v>
      </c>
      <c r="E9" s="54"/>
      <c r="F9" s="62">
        <v>60086928</v>
      </c>
      <c r="G9" s="62">
        <v>300</v>
      </c>
      <c r="H9" s="65" t="str">
        <f>VLOOKUP(F9,[3]Suvin!$C$3:$I$139,2,0)</f>
        <v>TFAG517ZH1P</v>
      </c>
      <c r="I9" s="62">
        <v>60086928</v>
      </c>
      <c r="J9" t="b">
        <f t="shared" si="0"/>
        <v>1</v>
      </c>
      <c r="K9" s="60"/>
      <c r="L9" s="60"/>
    </row>
    <row r="10" spans="1:12">
      <c r="B10" s="49" t="s">
        <v>383</v>
      </c>
      <c r="C10" s="50" t="s">
        <v>374</v>
      </c>
      <c r="E10" s="54"/>
      <c r="F10" s="62">
        <v>60086604</v>
      </c>
      <c r="G10" s="62">
        <v>60</v>
      </c>
      <c r="H10" s="65" t="str">
        <f>VLOOKUP(F10,[3]Suvin!$C$3:$I$139,2,0)</f>
        <v>TFAG517ZH0P</v>
      </c>
      <c r="I10" s="62">
        <v>60086604</v>
      </c>
      <c r="J10" t="b">
        <f t="shared" si="0"/>
        <v>1</v>
      </c>
      <c r="K10" s="60"/>
      <c r="L10" s="60"/>
    </row>
    <row r="11" spans="1:12" ht="15" customHeight="1">
      <c r="B11" s="49" t="s">
        <v>384</v>
      </c>
      <c r="C11" s="50" t="s">
        <v>374</v>
      </c>
      <c r="E11" s="46"/>
      <c r="F11" s="62">
        <v>60086630</v>
      </c>
      <c r="G11" s="62">
        <v>300</v>
      </c>
      <c r="H11" s="65" t="str">
        <f>VLOOKUP(F11,[3]Suvin!$C$3:$I$139,2,0)</f>
        <v>TFAG517ZH0P</v>
      </c>
      <c r="I11" s="62">
        <v>60086630</v>
      </c>
      <c r="J11" t="b">
        <f t="shared" si="0"/>
        <v>1</v>
      </c>
    </row>
    <row r="12" spans="1:12">
      <c r="B12" s="49" t="s">
        <v>385</v>
      </c>
      <c r="C12" s="50" t="s">
        <v>374</v>
      </c>
      <c r="E12" s="52"/>
      <c r="F12" s="62">
        <v>60087102</v>
      </c>
      <c r="G12" s="62">
        <v>140</v>
      </c>
      <c r="H12" s="65" t="str">
        <f>VLOOKUP(F12,[3]Suvin!$C$3:$I$139,2,0)</f>
        <v>TFAG517ZX1P</v>
      </c>
      <c r="I12" s="62">
        <v>60087102</v>
      </c>
      <c r="J12" t="b">
        <f t="shared" si="0"/>
        <v>1</v>
      </c>
      <c r="K12" s="57"/>
      <c r="L12" s="57"/>
    </row>
    <row r="13" spans="1:12">
      <c r="B13" s="49" t="s">
        <v>386</v>
      </c>
      <c r="C13" s="50" t="s">
        <v>374</v>
      </c>
      <c r="E13" s="63"/>
      <c r="F13" s="62">
        <v>60087104</v>
      </c>
      <c r="G13" s="62">
        <v>440</v>
      </c>
      <c r="H13" s="65" t="str">
        <f>VLOOKUP(F13,[3]Suvin!$C$3:$I$139,2,0)</f>
        <v>TFAG517ZX1P</v>
      </c>
      <c r="I13" s="62">
        <v>60087104</v>
      </c>
      <c r="J13" t="b">
        <f t="shared" si="0"/>
        <v>1</v>
      </c>
      <c r="K13" s="58"/>
      <c r="L13" s="58"/>
    </row>
    <row r="14" spans="1:12">
      <c r="B14" s="49" t="s">
        <v>387</v>
      </c>
      <c r="C14" s="50" t="s">
        <v>374</v>
      </c>
      <c r="E14" s="63"/>
      <c r="F14" s="62">
        <v>60087120</v>
      </c>
      <c r="G14" s="62">
        <v>100</v>
      </c>
      <c r="H14" s="65" t="str">
        <f>VLOOKUP(F14,[3]Suvin!$C$3:$I$139,2,0)</f>
        <v>TFAG517ZX1P</v>
      </c>
      <c r="I14" s="62">
        <v>60087120</v>
      </c>
      <c r="J14" t="b">
        <f t="shared" si="0"/>
        <v>1</v>
      </c>
      <c r="K14" s="58"/>
      <c r="L14" s="58"/>
    </row>
    <row r="15" spans="1:12">
      <c r="B15" s="49" t="s">
        <v>388</v>
      </c>
      <c r="C15" s="50" t="s">
        <v>374</v>
      </c>
      <c r="E15" s="64"/>
      <c r="F15" s="62">
        <v>60087125</v>
      </c>
      <c r="G15" s="62">
        <v>120</v>
      </c>
      <c r="H15" s="65" t="str">
        <f>VLOOKUP(F15,[3]Suvin!$C$3:$I$139,2,0)</f>
        <v>TFAG517ZX1P</v>
      </c>
      <c r="I15" s="62">
        <v>60087125</v>
      </c>
      <c r="J15" t="b">
        <f t="shared" si="0"/>
        <v>1</v>
      </c>
      <c r="K15" s="59"/>
      <c r="L15" s="59"/>
    </row>
    <row r="16" spans="1:12">
      <c r="B16" s="49" t="s">
        <v>389</v>
      </c>
      <c r="C16" s="50" t="s">
        <v>374</v>
      </c>
      <c r="E16" s="52"/>
      <c r="F16" s="62">
        <v>60087131</v>
      </c>
      <c r="G16" s="62">
        <v>340</v>
      </c>
      <c r="H16" s="65" t="str">
        <f>VLOOKUP(F16,[3]Suvin!$C$3:$I$139,2,0)</f>
        <v>TFAG517ZX1P</v>
      </c>
      <c r="I16" s="62">
        <v>60087131</v>
      </c>
      <c r="J16" t="b">
        <f t="shared" si="0"/>
        <v>1</v>
      </c>
      <c r="K16" s="56"/>
      <c r="L16" s="57"/>
    </row>
    <row r="17" spans="2:12">
      <c r="B17" s="49" t="s">
        <v>390</v>
      </c>
      <c r="C17" s="50" t="s">
        <v>374</v>
      </c>
      <c r="E17" s="51"/>
      <c r="F17" s="62">
        <v>60087133</v>
      </c>
      <c r="G17" s="62">
        <v>280</v>
      </c>
      <c r="H17" s="65" t="str">
        <f>VLOOKUP(F17,[3]Suvin!$C$3:$I$139,2,0)</f>
        <v>TFAG517ZX1P</v>
      </c>
      <c r="I17" s="62">
        <v>60087133</v>
      </c>
      <c r="J17" t="b">
        <f t="shared" si="0"/>
        <v>1</v>
      </c>
      <c r="K17" s="51"/>
      <c r="L17" s="51"/>
    </row>
    <row r="18" spans="2:12">
      <c r="B18" s="49" t="s">
        <v>391</v>
      </c>
      <c r="C18" s="50" t="s">
        <v>374</v>
      </c>
      <c r="F18" s="62">
        <v>60086937</v>
      </c>
      <c r="G18" s="62">
        <v>80</v>
      </c>
      <c r="H18" s="65" t="str">
        <f>VLOOKUP(F18,[3]Suvin!$C$3:$I$139,2,0)</f>
        <v>TFAG517ZX0P</v>
      </c>
      <c r="I18" s="62">
        <v>60086937</v>
      </c>
      <c r="J18" t="b">
        <f t="shared" si="0"/>
        <v>1</v>
      </c>
    </row>
    <row r="19" spans="2:12">
      <c r="B19" s="49" t="s">
        <v>392</v>
      </c>
      <c r="C19" s="50" t="s">
        <v>374</v>
      </c>
      <c r="F19" s="62">
        <v>60086936</v>
      </c>
      <c r="G19" s="62">
        <v>340</v>
      </c>
      <c r="H19" s="65" t="str">
        <f>VLOOKUP(F19,[3]Suvin!$C$3:$I$139,2,0)</f>
        <v>TFAG517ZX0P</v>
      </c>
      <c r="I19" s="62">
        <v>60086936</v>
      </c>
      <c r="J19" t="b">
        <f t="shared" si="0"/>
        <v>1</v>
      </c>
    </row>
    <row r="20" spans="2:12">
      <c r="B20" s="49" t="s">
        <v>393</v>
      </c>
      <c r="C20" s="50" t="s">
        <v>374</v>
      </c>
      <c r="F20" s="62">
        <v>60086948</v>
      </c>
      <c r="G20" s="62">
        <v>200</v>
      </c>
      <c r="H20" s="65" t="str">
        <f>VLOOKUP(F20,[3]Suvin!$C$3:$I$139,2,0)</f>
        <v>TFAG517ZX0P</v>
      </c>
      <c r="I20" s="62">
        <v>60086948</v>
      </c>
      <c r="J20" t="b">
        <f t="shared" si="0"/>
        <v>1</v>
      </c>
    </row>
    <row r="21" spans="2:12">
      <c r="B21" s="49" t="s">
        <v>394</v>
      </c>
      <c r="C21" s="50" t="s">
        <v>381</v>
      </c>
      <c r="F21" s="62">
        <v>60086802</v>
      </c>
      <c r="G21" s="62">
        <v>100</v>
      </c>
      <c r="H21" s="65" t="str">
        <f>VLOOKUP(F21,[3]Suvin!$C$3:$I$139,2,0)</f>
        <v>TFAG517ZB0P</v>
      </c>
      <c r="I21" s="62">
        <v>60086802</v>
      </c>
      <c r="J21" t="b">
        <f t="shared" si="0"/>
        <v>1</v>
      </c>
    </row>
    <row r="22" spans="2:12">
      <c r="B22" s="49" t="s">
        <v>395</v>
      </c>
      <c r="C22" s="50" t="s">
        <v>381</v>
      </c>
      <c r="E22" s="55"/>
      <c r="F22" s="62">
        <v>60086807</v>
      </c>
      <c r="G22" s="62">
        <v>220</v>
      </c>
      <c r="H22" s="65" t="str">
        <f>VLOOKUP(F22,[3]Suvin!$C$3:$I$139,2,0)</f>
        <v>TFAG517ZB0P</v>
      </c>
      <c r="I22" s="62">
        <v>60086807</v>
      </c>
      <c r="J22" t="b">
        <f t="shared" si="0"/>
        <v>1</v>
      </c>
      <c r="K22" s="60"/>
      <c r="L22" s="60"/>
    </row>
    <row r="23" spans="2:12">
      <c r="B23" s="49" t="s">
        <v>396</v>
      </c>
      <c r="C23" s="50" t="s">
        <v>374</v>
      </c>
      <c r="F23" s="62">
        <v>60086834</v>
      </c>
      <c r="G23" s="62">
        <v>320</v>
      </c>
      <c r="H23" s="65" t="str">
        <f>VLOOKUP(F23,[3]Suvin!$C$3:$I$139,2,0)</f>
        <v>TFAG517ZB0P</v>
      </c>
      <c r="I23" s="62">
        <v>60086834</v>
      </c>
      <c r="J23" t="b">
        <f t="shared" si="0"/>
        <v>1</v>
      </c>
      <c r="K23" s="45"/>
    </row>
    <row r="24" spans="2:12">
      <c r="B24" s="49" t="s">
        <v>397</v>
      </c>
      <c r="C24" s="50" t="s">
        <v>374</v>
      </c>
      <c r="F24" s="62">
        <v>60086911</v>
      </c>
      <c r="G24" s="62">
        <v>180</v>
      </c>
      <c r="H24" s="65" t="s">
        <v>377</v>
      </c>
      <c r="I24" s="62">
        <v>60086911</v>
      </c>
      <c r="J24" t="b">
        <f t="shared" si="0"/>
        <v>1</v>
      </c>
      <c r="K24" s="45"/>
    </row>
    <row r="25" spans="2:12">
      <c r="B25" s="49" t="s">
        <v>398</v>
      </c>
      <c r="C25" s="50" t="s">
        <v>374</v>
      </c>
      <c r="F25" s="62">
        <v>60086915</v>
      </c>
      <c r="G25" s="62">
        <v>208</v>
      </c>
      <c r="H25" s="65" t="s">
        <v>377</v>
      </c>
      <c r="I25" s="62">
        <v>60086915</v>
      </c>
      <c r="J25" t="b">
        <f t="shared" si="0"/>
        <v>1</v>
      </c>
      <c r="K25" s="45"/>
    </row>
    <row r="26" spans="2:12">
      <c r="B26" s="49" t="s">
        <v>399</v>
      </c>
      <c r="C26" s="50" t="s">
        <v>374</v>
      </c>
      <c r="F26" s="62">
        <v>60086925</v>
      </c>
      <c r="G26" s="62">
        <v>208</v>
      </c>
      <c r="H26" s="65" t="s">
        <v>377</v>
      </c>
      <c r="I26" s="62">
        <v>60086925</v>
      </c>
      <c r="J26" t="b">
        <f t="shared" si="0"/>
        <v>1</v>
      </c>
      <c r="K26" s="45"/>
    </row>
    <row r="27" spans="2:12">
      <c r="B27" s="49" t="s">
        <v>400</v>
      </c>
      <c r="C27" s="50" t="s">
        <v>374</v>
      </c>
      <c r="F27" s="62">
        <v>60086941</v>
      </c>
      <c r="G27" s="62">
        <v>208</v>
      </c>
      <c r="H27" s="65" t="str">
        <f>VLOOKUP(F27,[3]Suvin!$C$3:$I$139,2,0)</f>
        <v>TFAG517ZB0P</v>
      </c>
      <c r="I27" s="62">
        <v>60086941</v>
      </c>
      <c r="J27" t="b">
        <f t="shared" si="0"/>
        <v>1</v>
      </c>
      <c r="K27" s="45"/>
    </row>
    <row r="28" spans="2:12">
      <c r="B28" s="49" t="s">
        <v>401</v>
      </c>
      <c r="C28" s="50" t="s">
        <v>381</v>
      </c>
      <c r="F28" s="62">
        <v>60086929</v>
      </c>
      <c r="G28" s="62">
        <v>208</v>
      </c>
      <c r="H28" s="65" t="str">
        <f>VLOOKUP(F28,[3]Suvin!$C$3:$I$139,2,0)</f>
        <v>TFAG517ZB0P</v>
      </c>
      <c r="I28" s="62">
        <v>60086929</v>
      </c>
      <c r="J28" t="b">
        <f t="shared" si="0"/>
        <v>1</v>
      </c>
      <c r="K28" s="45"/>
    </row>
    <row r="29" spans="2:12">
      <c r="B29" s="49" t="s">
        <v>402</v>
      </c>
      <c r="C29" s="50" t="s">
        <v>374</v>
      </c>
      <c r="F29" s="62">
        <v>60086901</v>
      </c>
      <c r="G29" s="62">
        <v>208</v>
      </c>
      <c r="H29" s="65" t="str">
        <f>VLOOKUP(F29,[3]Suvin!$C$3:$I$139,2,0)</f>
        <v>TFAG517ZS0P</v>
      </c>
      <c r="I29" s="62">
        <v>60086901</v>
      </c>
      <c r="J29" t="b">
        <f t="shared" si="0"/>
        <v>1</v>
      </c>
      <c r="K29" s="45"/>
    </row>
    <row r="30" spans="2:12">
      <c r="B30" s="49" t="s">
        <v>403</v>
      </c>
      <c r="C30" s="50" t="s">
        <v>374</v>
      </c>
      <c r="F30" s="62">
        <v>60086902</v>
      </c>
      <c r="G30" s="62">
        <v>208</v>
      </c>
      <c r="H30" s="65" t="str">
        <f>VLOOKUP(F30,[3]Suvin!$C$3:$I$139,2,0)</f>
        <v>TFAG517ZS0P</v>
      </c>
      <c r="I30" s="62">
        <v>60086902</v>
      </c>
      <c r="J30" t="b">
        <f t="shared" si="0"/>
        <v>1</v>
      </c>
      <c r="K30" s="45"/>
    </row>
    <row r="31" spans="2:12">
      <c r="B31" s="49" t="s">
        <v>404</v>
      </c>
      <c r="C31" s="50" t="s">
        <v>374</v>
      </c>
      <c r="F31" s="62">
        <v>60086903</v>
      </c>
      <c r="G31" s="62">
        <v>208</v>
      </c>
      <c r="H31" s="65" t="str">
        <f>VLOOKUP(F31,[3]Suvin!$C$3:$I$139,2,0)</f>
        <v>TFAG517ZS0P</v>
      </c>
      <c r="I31" s="62">
        <v>60086903</v>
      </c>
      <c r="J31" t="b">
        <f t="shared" si="0"/>
        <v>1</v>
      </c>
      <c r="K31" s="45"/>
    </row>
    <row r="32" spans="2:12">
      <c r="B32" s="49" t="s">
        <v>405</v>
      </c>
      <c r="C32" s="50" t="s">
        <v>381</v>
      </c>
      <c r="F32" s="62">
        <v>60086904</v>
      </c>
      <c r="G32" s="62">
        <v>120</v>
      </c>
      <c r="H32" s="65" t="str">
        <f>VLOOKUP(F32,[3]Suvin!$C$3:$I$139,2,0)</f>
        <v>TFAG517ZS0P</v>
      </c>
      <c r="I32" s="62">
        <v>60086904</v>
      </c>
      <c r="J32" t="b">
        <f t="shared" si="0"/>
        <v>1</v>
      </c>
      <c r="K32" s="45"/>
    </row>
    <row r="33" spans="2:11">
      <c r="B33" s="49" t="s">
        <v>406</v>
      </c>
      <c r="C33" s="50" t="s">
        <v>374</v>
      </c>
      <c r="F33" s="62">
        <v>60086907</v>
      </c>
      <c r="G33" s="62">
        <v>160</v>
      </c>
      <c r="H33" s="65" t="str">
        <f>VLOOKUP(F33,[3]Suvin!$C$3:$I$139,2,0)</f>
        <v>TFAG517ZS0P</v>
      </c>
      <c r="I33" s="62">
        <v>60086907</v>
      </c>
      <c r="J33" t="b">
        <f t="shared" si="0"/>
        <v>1</v>
      </c>
      <c r="K33" s="45"/>
    </row>
    <row r="34" spans="2:11">
      <c r="B34" s="49" t="s">
        <v>407</v>
      </c>
      <c r="C34" s="50" t="s">
        <v>374</v>
      </c>
      <c r="F34" s="62">
        <v>60086930</v>
      </c>
      <c r="G34" s="62">
        <v>120</v>
      </c>
      <c r="H34" s="65" t="str">
        <f>VLOOKUP(F34,[3]Suvin!$C$3:$I$139,2,0)</f>
        <v>TFAG517ZS0P</v>
      </c>
      <c r="I34" s="62">
        <v>60086930</v>
      </c>
      <c r="J34" t="b">
        <f t="shared" si="0"/>
        <v>1</v>
      </c>
      <c r="K34" s="45"/>
    </row>
    <row r="35" spans="2:11">
      <c r="B35" s="49" t="s">
        <v>408</v>
      </c>
      <c r="C35" s="50" t="s">
        <v>374</v>
      </c>
      <c r="F35" s="62">
        <v>60086934</v>
      </c>
      <c r="G35" s="62">
        <v>110</v>
      </c>
      <c r="H35" s="65" t="str">
        <f>VLOOKUP(F35,[3]Suvin!$C$3:$I$139,2,0)</f>
        <v>TFAG517ZS0P</v>
      </c>
      <c r="I35" s="62">
        <v>60086934</v>
      </c>
      <c r="J35" t="b">
        <f t="shared" si="0"/>
        <v>1</v>
      </c>
      <c r="K35" s="45"/>
    </row>
    <row r="36" spans="2:11">
      <c r="B36" s="49" t="s">
        <v>409</v>
      </c>
      <c r="C36" s="50" t="s">
        <v>374</v>
      </c>
      <c r="F36" s="62">
        <v>60086912</v>
      </c>
      <c r="G36" s="62">
        <v>660</v>
      </c>
      <c r="H36" s="65" t="s">
        <v>377</v>
      </c>
      <c r="I36" s="62">
        <v>60086912</v>
      </c>
      <c r="J36" t="b">
        <f t="shared" si="0"/>
        <v>1</v>
      </c>
      <c r="K36" s="45"/>
    </row>
    <row r="37" spans="2:11">
      <c r="B37" s="49" t="s">
        <v>410</v>
      </c>
      <c r="C37" s="50" t="s">
        <v>374</v>
      </c>
      <c r="F37" s="62">
        <v>60086916</v>
      </c>
      <c r="G37" s="62">
        <v>504</v>
      </c>
      <c r="H37" s="65" t="s">
        <v>377</v>
      </c>
      <c r="I37" s="62">
        <v>60086916</v>
      </c>
      <c r="J37" t="b">
        <f t="shared" si="0"/>
        <v>1</v>
      </c>
      <c r="K37" s="45"/>
    </row>
    <row r="38" spans="2:11">
      <c r="B38" s="49" t="s">
        <v>411</v>
      </c>
      <c r="C38" s="50" t="s">
        <v>374</v>
      </c>
      <c r="F38" s="62">
        <v>60086947</v>
      </c>
      <c r="G38" s="62">
        <v>640</v>
      </c>
      <c r="H38" s="65" t="str">
        <f>VLOOKUP(F38,[3]Suvin!$C$3:$I$139,2,0)</f>
        <v>TFAG517ZS0P</v>
      </c>
      <c r="I38" s="62">
        <v>60086947</v>
      </c>
      <c r="J38" t="b">
        <f t="shared" si="0"/>
        <v>1</v>
      </c>
      <c r="K38" s="45"/>
    </row>
    <row r="39" spans="2:11">
      <c r="B39" s="49" t="s">
        <v>412</v>
      </c>
      <c r="C39" s="50" t="s">
        <v>374</v>
      </c>
      <c r="E39" s="53"/>
      <c r="F39" s="62">
        <v>60086932</v>
      </c>
      <c r="G39" s="62">
        <v>520</v>
      </c>
      <c r="H39" s="65" t="str">
        <f>VLOOKUP(F39,[3]Suvin!$C$3:$I$139,2,0)</f>
        <v>TFAG517ZS0P</v>
      </c>
      <c r="I39" s="62">
        <v>60086932</v>
      </c>
      <c r="J39" t="b">
        <f t="shared" si="0"/>
        <v>1</v>
      </c>
      <c r="K39" s="45"/>
    </row>
    <row r="40" spans="2:11">
      <c r="B40" s="49" t="s">
        <v>413</v>
      </c>
      <c r="C40" s="50" t="s">
        <v>374</v>
      </c>
      <c r="F40" s="61"/>
      <c r="G40" s="61"/>
      <c r="H40" s="61"/>
      <c r="I40" s="45"/>
      <c r="J40" s="45"/>
      <c r="K40" s="45"/>
    </row>
    <row r="41" spans="2:11">
      <c r="B41" s="49" t="s">
        <v>414</v>
      </c>
      <c r="C41" s="50" t="s">
        <v>381</v>
      </c>
      <c r="F41" s="45"/>
      <c r="G41" s="45"/>
      <c r="H41" s="45"/>
      <c r="I41" s="45"/>
      <c r="J41" s="45"/>
      <c r="K41" s="45"/>
    </row>
  </sheetData>
  <autoFilter ref="F1:H39" xr:uid="{00000000-0009-0000-0000-000004000000}"/>
  <pageMargins left="0.7" right="0.7" top="0.75" bottom="0.75" header="0.3" footer="0.3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U32"/>
  <sheetViews>
    <sheetView workbookViewId="0">
      <selection activeCell="I12" sqref="I12:I32"/>
    </sheetView>
  </sheetViews>
  <sheetFormatPr defaultRowHeight="14.4"/>
  <cols>
    <col min="1" max="1" width="16.44140625" customWidth="1"/>
    <col min="2" max="2" width="13.6640625" customWidth="1"/>
    <col min="3" max="3" width="27.88671875" bestFit="1" customWidth="1"/>
    <col min="4" max="5" width="7.33203125" customWidth="1"/>
    <col min="6" max="6" width="11.88671875" customWidth="1"/>
    <col min="7" max="7" width="11.88671875" bestFit="1" customWidth="1"/>
    <col min="9" max="9" width="26.33203125" bestFit="1" customWidth="1"/>
    <col min="10" max="10" width="11.5546875" bestFit="1" customWidth="1"/>
    <col min="13" max="18" width="0" hidden="1"/>
    <col min="21" max="21" width="0" hidden="1"/>
  </cols>
  <sheetData>
    <row r="1" spans="1:21" ht="28.95" customHeight="1">
      <c r="A1" s="11" t="s">
        <v>415</v>
      </c>
      <c r="B1" s="11"/>
      <c r="C1" s="11" t="s">
        <v>416</v>
      </c>
      <c r="D1" s="11" t="s">
        <v>417</v>
      </c>
      <c r="E1" s="11" t="s">
        <v>418</v>
      </c>
      <c r="F1" s="11" t="s">
        <v>419</v>
      </c>
      <c r="G1" s="11" t="s">
        <v>420</v>
      </c>
      <c r="I1" s="38" t="s">
        <v>421</v>
      </c>
      <c r="J1" s="39" t="s">
        <v>422</v>
      </c>
      <c r="K1" s="39" t="s">
        <v>423</v>
      </c>
      <c r="L1" s="39" t="s">
        <v>424</v>
      </c>
      <c r="M1" s="39" t="s">
        <v>425</v>
      </c>
      <c r="N1" s="39" t="s">
        <v>426</v>
      </c>
      <c r="O1" s="39" t="s">
        <v>427</v>
      </c>
      <c r="P1" s="39" t="s">
        <v>428</v>
      </c>
      <c r="Q1" s="39" t="s">
        <v>429</v>
      </c>
      <c r="R1" s="39" t="s">
        <v>430</v>
      </c>
      <c r="S1" s="39" t="s">
        <v>431</v>
      </c>
      <c r="T1" s="39" t="s">
        <v>432</v>
      </c>
      <c r="U1" s="13" t="s">
        <v>433</v>
      </c>
    </row>
    <row r="2" spans="1:21">
      <c r="A2" s="12" t="s">
        <v>434</v>
      </c>
      <c r="B2" s="12">
        <v>21600</v>
      </c>
      <c r="C2" s="12" t="s">
        <v>435</v>
      </c>
      <c r="D2" s="12">
        <v>919553</v>
      </c>
      <c r="E2" s="12" t="s">
        <v>46</v>
      </c>
      <c r="F2" s="12" t="s">
        <v>46</v>
      </c>
      <c r="G2" s="12" t="s">
        <v>436</v>
      </c>
      <c r="I2" s="40" t="s">
        <v>401</v>
      </c>
      <c r="J2" s="41" t="s">
        <v>437</v>
      </c>
      <c r="K2" s="41">
        <v>40</v>
      </c>
      <c r="L2" s="41">
        <v>75</v>
      </c>
      <c r="M2" s="41">
        <v>480</v>
      </c>
      <c r="N2" s="41">
        <v>0.14399999999999999</v>
      </c>
      <c r="O2" s="41">
        <v>9</v>
      </c>
      <c r="P2" s="41">
        <v>2250</v>
      </c>
      <c r="Q2" s="41">
        <v>108</v>
      </c>
      <c r="R2" s="41">
        <v>250</v>
      </c>
      <c r="S2" s="41">
        <v>27000</v>
      </c>
      <c r="T2" s="41">
        <v>3888</v>
      </c>
      <c r="U2" s="18">
        <v>1560</v>
      </c>
    </row>
    <row r="3" spans="1:21">
      <c r="A3" s="12" t="s">
        <v>438</v>
      </c>
      <c r="B3" s="12"/>
      <c r="C3" s="12" t="s">
        <v>439</v>
      </c>
      <c r="D3" s="12">
        <v>919556</v>
      </c>
      <c r="E3" s="12" t="s">
        <v>46</v>
      </c>
      <c r="F3" s="12" t="s">
        <v>46</v>
      </c>
      <c r="G3" s="12" t="s">
        <v>436</v>
      </c>
      <c r="I3" s="42" t="s">
        <v>401</v>
      </c>
      <c r="J3" s="41" t="s">
        <v>437</v>
      </c>
      <c r="K3" s="41">
        <v>85</v>
      </c>
      <c r="L3" s="41">
        <v>170</v>
      </c>
      <c r="M3" s="41">
        <v>480</v>
      </c>
      <c r="N3" s="41">
        <v>0.69399999999999995</v>
      </c>
      <c r="O3" s="41">
        <v>2</v>
      </c>
      <c r="P3" s="41">
        <v>500</v>
      </c>
      <c r="Q3" s="41">
        <v>24</v>
      </c>
      <c r="R3" s="41">
        <v>250</v>
      </c>
      <c r="S3" s="41">
        <v>6000</v>
      </c>
      <c r="T3" s="41">
        <v>4162</v>
      </c>
      <c r="U3" s="18">
        <v>1350</v>
      </c>
    </row>
    <row r="4" spans="1:21">
      <c r="A4" s="12"/>
      <c r="B4" s="12"/>
      <c r="C4" s="12"/>
      <c r="D4" s="12"/>
      <c r="E4" s="12"/>
      <c r="F4" s="12"/>
      <c r="G4" s="12"/>
      <c r="U4" s="18">
        <v>750</v>
      </c>
    </row>
    <row r="5" spans="1:21">
      <c r="A5" s="11" t="s">
        <v>440</v>
      </c>
      <c r="B5" s="11"/>
      <c r="C5" s="11" t="s">
        <v>416</v>
      </c>
      <c r="D5" s="11" t="s">
        <v>417</v>
      </c>
      <c r="E5" s="11" t="s">
        <v>418</v>
      </c>
      <c r="F5" s="11" t="s">
        <v>419</v>
      </c>
      <c r="G5" s="11" t="s">
        <v>420</v>
      </c>
      <c r="I5" s="40" t="s">
        <v>410</v>
      </c>
      <c r="J5" s="41" t="s">
        <v>441</v>
      </c>
      <c r="K5" s="41">
        <v>70</v>
      </c>
      <c r="L5" s="41">
        <v>140</v>
      </c>
      <c r="M5" s="41">
        <v>450</v>
      </c>
      <c r="N5" s="41">
        <v>0.441</v>
      </c>
      <c r="O5" s="41">
        <v>4</v>
      </c>
      <c r="P5" s="41">
        <v>1000</v>
      </c>
      <c r="Q5" s="41">
        <v>48</v>
      </c>
      <c r="R5" s="41">
        <v>450</v>
      </c>
      <c r="S5" s="41">
        <v>21600</v>
      </c>
      <c r="T5" s="41">
        <v>9526</v>
      </c>
      <c r="U5" s="18">
        <v>1560</v>
      </c>
    </row>
    <row r="6" spans="1:21" ht="15.6" customHeight="1">
      <c r="A6" s="12" t="s">
        <v>442</v>
      </c>
      <c r="B6" s="12">
        <v>27000</v>
      </c>
      <c r="C6" s="12" t="s">
        <v>443</v>
      </c>
      <c r="D6" s="12">
        <v>919559</v>
      </c>
      <c r="E6" s="12" t="s">
        <v>46</v>
      </c>
      <c r="F6" s="12" t="s">
        <v>46</v>
      </c>
      <c r="G6" s="12" t="s">
        <v>436</v>
      </c>
      <c r="I6" s="14"/>
      <c r="J6" s="15"/>
      <c r="K6" s="16"/>
      <c r="L6" s="16"/>
      <c r="M6" s="16"/>
      <c r="N6" s="16"/>
      <c r="O6" s="17"/>
      <c r="P6" s="17"/>
      <c r="Q6" s="15"/>
      <c r="R6" s="15"/>
      <c r="T6" s="15"/>
      <c r="U6" s="18">
        <v>1350</v>
      </c>
    </row>
    <row r="7" spans="1:21" ht="15.6" customHeight="1">
      <c r="A7" s="12" t="s">
        <v>444</v>
      </c>
      <c r="B7" s="12"/>
      <c r="C7" s="12" t="s">
        <v>445</v>
      </c>
      <c r="D7" s="12">
        <v>919560</v>
      </c>
      <c r="E7" s="12" t="s">
        <v>46</v>
      </c>
      <c r="F7" s="12" t="s">
        <v>46</v>
      </c>
      <c r="G7" s="12" t="s">
        <v>436</v>
      </c>
      <c r="I7" s="14"/>
      <c r="J7" s="15"/>
      <c r="K7" s="16"/>
      <c r="L7" s="16"/>
      <c r="M7" s="16"/>
      <c r="N7" s="16"/>
      <c r="O7" s="17"/>
      <c r="P7" s="17"/>
      <c r="Q7" s="15"/>
      <c r="R7" s="15"/>
      <c r="T7" s="15"/>
      <c r="U7" s="18">
        <v>750</v>
      </c>
    </row>
    <row r="8" spans="1:21" ht="15.6" customHeight="1">
      <c r="A8" s="12"/>
      <c r="B8" s="12"/>
      <c r="C8" s="12"/>
      <c r="D8" s="12"/>
      <c r="E8" s="12"/>
      <c r="F8" s="12"/>
      <c r="G8" s="12"/>
      <c r="I8" s="14"/>
      <c r="J8" s="15"/>
      <c r="K8" s="16"/>
      <c r="L8" s="19"/>
      <c r="M8" s="19"/>
      <c r="N8" s="19"/>
      <c r="O8" s="17"/>
      <c r="P8" s="17"/>
      <c r="Q8" s="15"/>
      <c r="R8" s="15"/>
      <c r="S8" s="15"/>
      <c r="T8" s="15"/>
      <c r="U8" s="18">
        <v>1560</v>
      </c>
    </row>
    <row r="9" spans="1:21" ht="15.6" customHeight="1">
      <c r="A9" s="11" t="s">
        <v>446</v>
      </c>
      <c r="B9" s="11"/>
      <c r="C9" s="11" t="s">
        <v>416</v>
      </c>
      <c r="D9" s="11" t="s">
        <v>417</v>
      </c>
      <c r="E9" s="11" t="s">
        <v>418</v>
      </c>
      <c r="F9" s="11" t="s">
        <v>419</v>
      </c>
      <c r="G9" s="11" t="s">
        <v>420</v>
      </c>
      <c r="I9" s="14"/>
      <c r="J9" s="15"/>
      <c r="K9" s="16"/>
      <c r="L9" s="16"/>
      <c r="M9" s="19"/>
      <c r="N9" s="19"/>
      <c r="O9" s="17"/>
      <c r="P9" s="17"/>
      <c r="Q9" s="15"/>
      <c r="R9" s="15"/>
      <c r="S9" s="15"/>
      <c r="T9" s="15"/>
      <c r="U9" s="18">
        <v>1350</v>
      </c>
    </row>
    <row r="10" spans="1:21" ht="15.6" customHeight="1">
      <c r="A10" s="12" t="s">
        <v>447</v>
      </c>
      <c r="B10" s="15">
        <v>4500</v>
      </c>
      <c r="C10" s="12" t="s">
        <v>448</v>
      </c>
      <c r="D10" s="12">
        <v>919604</v>
      </c>
      <c r="E10" s="12" t="s">
        <v>381</v>
      </c>
      <c r="F10" s="12" t="s">
        <v>46</v>
      </c>
      <c r="G10" s="12" t="s">
        <v>436</v>
      </c>
      <c r="I10" s="14"/>
      <c r="J10" s="15"/>
      <c r="K10" s="16"/>
      <c r="L10" s="16"/>
      <c r="M10" s="19"/>
      <c r="N10" s="19"/>
      <c r="O10" s="17"/>
      <c r="P10" s="17"/>
      <c r="Q10" s="15"/>
      <c r="R10" s="15"/>
      <c r="S10" s="15"/>
      <c r="T10" s="15"/>
      <c r="U10" s="18">
        <v>750</v>
      </c>
    </row>
    <row r="11" spans="1:21" ht="15.6" customHeight="1">
      <c r="A11" s="12" t="s">
        <v>449</v>
      </c>
      <c r="B11" s="15">
        <v>8100</v>
      </c>
      <c r="C11" s="12" t="s">
        <v>450</v>
      </c>
      <c r="D11" s="12">
        <v>919613</v>
      </c>
      <c r="E11" s="12" t="s">
        <v>381</v>
      </c>
      <c r="F11" s="12" t="s">
        <v>46</v>
      </c>
      <c r="G11" s="12" t="s">
        <v>436</v>
      </c>
      <c r="I11" s="14"/>
      <c r="J11" s="15"/>
      <c r="K11" s="16"/>
      <c r="L11" s="16"/>
      <c r="M11" s="16"/>
      <c r="N11" s="16"/>
      <c r="O11" s="17"/>
      <c r="P11" s="17"/>
      <c r="Q11" s="15"/>
      <c r="R11" s="15"/>
      <c r="S11" s="15"/>
      <c r="T11" s="15"/>
      <c r="U11" s="18">
        <v>1560</v>
      </c>
    </row>
    <row r="12" spans="1:21" ht="15.6" customHeight="1">
      <c r="A12" s="12" t="s">
        <v>451</v>
      </c>
      <c r="B12" s="15">
        <v>9360</v>
      </c>
      <c r="C12" s="12" t="s">
        <v>452</v>
      </c>
      <c r="D12" s="12">
        <v>919610</v>
      </c>
      <c r="E12" s="12" t="s">
        <v>381</v>
      </c>
      <c r="F12" s="12" t="s">
        <v>46</v>
      </c>
      <c r="G12" s="12" t="s">
        <v>436</v>
      </c>
      <c r="I12" s="43">
        <v>3161346912</v>
      </c>
      <c r="J12" s="15"/>
      <c r="K12" s="16"/>
      <c r="L12" s="16"/>
      <c r="M12" s="16"/>
      <c r="N12" s="16"/>
      <c r="O12" s="17"/>
      <c r="P12" s="17"/>
      <c r="Q12" s="15"/>
      <c r="R12" s="15"/>
      <c r="S12" s="15"/>
      <c r="T12" s="15"/>
      <c r="U12" s="18">
        <v>1350</v>
      </c>
    </row>
    <row r="13" spans="1:21" ht="15.6" customHeight="1">
      <c r="A13" s="12"/>
      <c r="B13" s="12"/>
      <c r="C13" s="12"/>
      <c r="D13" s="12"/>
      <c r="E13" s="12"/>
      <c r="F13" s="12"/>
      <c r="G13" s="12"/>
      <c r="J13" s="15"/>
      <c r="K13" s="16"/>
      <c r="L13" s="16"/>
      <c r="M13" s="16"/>
      <c r="N13" s="16"/>
      <c r="O13" s="17"/>
      <c r="P13" s="17"/>
      <c r="Q13" s="15"/>
      <c r="R13" s="15"/>
      <c r="S13" s="15"/>
      <c r="T13" s="15"/>
      <c r="U13" s="18">
        <v>750</v>
      </c>
    </row>
    <row r="14" spans="1:21">
      <c r="A14" s="11" t="s">
        <v>446</v>
      </c>
      <c r="B14" s="11"/>
      <c r="C14" s="11" t="s">
        <v>416</v>
      </c>
      <c r="D14" s="11" t="s">
        <v>417</v>
      </c>
      <c r="E14" s="11" t="s">
        <v>418</v>
      </c>
      <c r="F14" s="11" t="s">
        <v>419</v>
      </c>
      <c r="G14" s="11" t="s">
        <v>420</v>
      </c>
    </row>
    <row r="15" spans="1:21">
      <c r="A15" s="12" t="s">
        <v>453</v>
      </c>
      <c r="B15" s="15">
        <v>4500</v>
      </c>
      <c r="C15" s="12" t="s">
        <v>454</v>
      </c>
      <c r="D15" s="12">
        <v>919596</v>
      </c>
      <c r="E15" s="12" t="s">
        <v>381</v>
      </c>
      <c r="F15" s="12" t="s">
        <v>46</v>
      </c>
      <c r="G15" s="12" t="s">
        <v>436</v>
      </c>
    </row>
    <row r="16" spans="1:21">
      <c r="A16" s="12" t="s">
        <v>455</v>
      </c>
      <c r="B16" s="15">
        <v>8100</v>
      </c>
      <c r="C16" s="12" t="s">
        <v>456</v>
      </c>
      <c r="D16" s="12">
        <v>919597</v>
      </c>
      <c r="E16" s="12" t="s">
        <v>381</v>
      </c>
      <c r="F16" s="12" t="s">
        <v>46</v>
      </c>
      <c r="G16" s="12" t="s">
        <v>436</v>
      </c>
      <c r="I16" s="43">
        <v>3161347617</v>
      </c>
    </row>
    <row r="17" spans="1:9">
      <c r="A17" s="12" t="s">
        <v>457</v>
      </c>
      <c r="B17" s="15">
        <v>9360</v>
      </c>
      <c r="C17" s="12" t="s">
        <v>458</v>
      </c>
      <c r="D17" s="12">
        <v>919600</v>
      </c>
      <c r="E17" s="12" t="s">
        <v>381</v>
      </c>
      <c r="F17" s="12" t="s">
        <v>46</v>
      </c>
      <c r="G17" s="12" t="s">
        <v>436</v>
      </c>
    </row>
    <row r="18" spans="1:9">
      <c r="A18" s="12"/>
      <c r="B18" s="12"/>
      <c r="C18" s="12"/>
      <c r="D18" s="12"/>
      <c r="E18" s="12"/>
      <c r="F18" s="12"/>
      <c r="G18" s="12"/>
    </row>
    <row r="19" spans="1:9">
      <c r="A19" s="11" t="s">
        <v>446</v>
      </c>
      <c r="B19" s="11"/>
      <c r="C19" s="11" t="s">
        <v>416</v>
      </c>
      <c r="D19" s="11" t="s">
        <v>417</v>
      </c>
      <c r="E19" s="11" t="s">
        <v>418</v>
      </c>
      <c r="F19" s="11" t="s">
        <v>419</v>
      </c>
      <c r="G19" s="11" t="s">
        <v>420</v>
      </c>
    </row>
    <row r="20" spans="1:9">
      <c r="A20" s="12" t="s">
        <v>459</v>
      </c>
      <c r="B20" s="15">
        <v>4500</v>
      </c>
      <c r="C20" s="12" t="s">
        <v>460</v>
      </c>
      <c r="D20" s="12">
        <v>919573</v>
      </c>
      <c r="E20" s="12" t="s">
        <v>381</v>
      </c>
      <c r="F20" s="12" t="s">
        <v>46</v>
      </c>
      <c r="G20" s="12" t="s">
        <v>436</v>
      </c>
      <c r="I20" s="43">
        <v>3161607831</v>
      </c>
    </row>
    <row r="21" spans="1:9">
      <c r="A21" s="12" t="s">
        <v>461</v>
      </c>
      <c r="B21" s="15">
        <v>8100</v>
      </c>
      <c r="C21" s="12" t="s">
        <v>462</v>
      </c>
      <c r="D21" s="12">
        <v>919574</v>
      </c>
      <c r="E21" s="12" t="s">
        <v>381</v>
      </c>
      <c r="F21" s="12" t="s">
        <v>46</v>
      </c>
      <c r="G21" s="12" t="s">
        <v>436</v>
      </c>
    </row>
    <row r="22" spans="1:9">
      <c r="A22" s="12" t="s">
        <v>463</v>
      </c>
      <c r="B22" s="15">
        <v>9360</v>
      </c>
      <c r="C22" s="12" t="s">
        <v>464</v>
      </c>
      <c r="D22" s="12">
        <v>919576</v>
      </c>
      <c r="E22" s="12" t="s">
        <v>381</v>
      </c>
      <c r="F22" s="12" t="s">
        <v>46</v>
      </c>
      <c r="G22" s="12" t="s">
        <v>436</v>
      </c>
    </row>
    <row r="23" spans="1:9">
      <c r="A23" s="12"/>
      <c r="B23" s="12"/>
      <c r="C23" s="12"/>
      <c r="D23" s="12"/>
      <c r="E23" s="12"/>
      <c r="F23" s="12"/>
      <c r="G23" s="12"/>
    </row>
    <row r="24" spans="1:9">
      <c r="A24" s="11" t="s">
        <v>446</v>
      </c>
      <c r="C24" s="11" t="s">
        <v>416</v>
      </c>
      <c r="D24" s="11" t="s">
        <v>417</v>
      </c>
      <c r="E24" s="11" t="s">
        <v>418</v>
      </c>
      <c r="F24" s="11" t="s">
        <v>419</v>
      </c>
      <c r="G24" s="11" t="s">
        <v>420</v>
      </c>
      <c r="I24" s="43">
        <v>3161346913</v>
      </c>
    </row>
    <row r="25" spans="1:9">
      <c r="A25" s="12" t="s">
        <v>465</v>
      </c>
      <c r="C25" s="12" t="s">
        <v>466</v>
      </c>
      <c r="D25" s="12">
        <v>919584</v>
      </c>
      <c r="E25" s="12" t="s">
        <v>381</v>
      </c>
      <c r="F25" s="12" t="s">
        <v>46</v>
      </c>
      <c r="G25" s="12" t="s">
        <v>436</v>
      </c>
    </row>
    <row r="26" spans="1:9">
      <c r="A26" s="12" t="s">
        <v>467</v>
      </c>
      <c r="C26" s="12" t="s">
        <v>468</v>
      </c>
      <c r="D26" s="12">
        <v>919590</v>
      </c>
      <c r="E26" s="12" t="s">
        <v>381</v>
      </c>
      <c r="F26" s="12" t="s">
        <v>46</v>
      </c>
      <c r="G26" s="12" t="s">
        <v>436</v>
      </c>
    </row>
    <row r="27" spans="1:9">
      <c r="A27" s="12" t="s">
        <v>469</v>
      </c>
      <c r="C27" s="12" t="s">
        <v>470</v>
      </c>
      <c r="D27" s="12">
        <v>919581</v>
      </c>
      <c r="E27" s="12" t="s">
        <v>381</v>
      </c>
      <c r="F27" s="12" t="s">
        <v>46</v>
      </c>
      <c r="G27" s="12" t="s">
        <v>436</v>
      </c>
    </row>
    <row r="28" spans="1:9">
      <c r="I28" s="43">
        <v>3161607832</v>
      </c>
    </row>
    <row r="29" spans="1:9" ht="26.4" customHeight="1">
      <c r="A29" s="22" t="s">
        <v>446</v>
      </c>
      <c r="B29" s="22" t="s">
        <v>416</v>
      </c>
      <c r="C29" s="22" t="s">
        <v>417</v>
      </c>
      <c r="D29" s="22" t="s">
        <v>418</v>
      </c>
      <c r="E29" s="22" t="s">
        <v>419</v>
      </c>
      <c r="F29" s="22" t="s">
        <v>420</v>
      </c>
    </row>
    <row r="30" spans="1:9">
      <c r="A30" s="23" t="s">
        <v>471</v>
      </c>
      <c r="B30" s="15">
        <v>4500</v>
      </c>
      <c r="C30" s="23">
        <v>919639</v>
      </c>
      <c r="D30" s="23" t="s">
        <v>46</v>
      </c>
      <c r="E30" s="23" t="s">
        <v>46</v>
      </c>
      <c r="F30" s="23" t="s">
        <v>436</v>
      </c>
    </row>
    <row r="31" spans="1:9">
      <c r="A31" s="23" t="s">
        <v>472</v>
      </c>
      <c r="B31" s="15">
        <v>8100</v>
      </c>
      <c r="C31" s="23">
        <v>919642</v>
      </c>
      <c r="D31" s="23" t="s">
        <v>46</v>
      </c>
      <c r="E31" s="23" t="s">
        <v>46</v>
      </c>
      <c r="F31" s="23" t="s">
        <v>436</v>
      </c>
    </row>
    <row r="32" spans="1:9">
      <c r="A32" s="23" t="s">
        <v>473</v>
      </c>
      <c r="B32" s="15">
        <v>9360</v>
      </c>
      <c r="C32" s="23">
        <v>919640</v>
      </c>
      <c r="D32" s="23" t="s">
        <v>46</v>
      </c>
      <c r="E32" s="23" t="s">
        <v>46</v>
      </c>
      <c r="F32" s="23" t="s">
        <v>436</v>
      </c>
      <c r="I32" s="43">
        <v>3161346914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M33"/>
  <sheetViews>
    <sheetView topLeftCell="A25" workbookViewId="0">
      <selection activeCell="A21" sqref="A21:A32"/>
    </sheetView>
  </sheetViews>
  <sheetFormatPr defaultRowHeight="14.4"/>
  <cols>
    <col min="2" max="2" width="11" style="10" bestFit="1" customWidth="1"/>
    <col min="3" max="3" width="22.88671875" style="10" bestFit="1" customWidth="1"/>
    <col min="4" max="4" width="8.88671875" style="10" bestFit="1" customWidth="1"/>
    <col min="5" max="5" width="9.5546875" style="10" bestFit="1" customWidth="1"/>
    <col min="6" max="6" width="11.33203125" style="10" bestFit="1" customWidth="1"/>
    <col min="7" max="7" width="10.109375" style="10" bestFit="1" customWidth="1"/>
    <col min="8" max="8" width="11.88671875" style="10" bestFit="1" customWidth="1"/>
    <col min="9" max="9" width="10.6640625" style="10" bestFit="1" customWidth="1"/>
    <col min="10" max="10" width="11.109375" style="10" bestFit="1" customWidth="1"/>
    <col min="11" max="11" width="11.33203125" style="10" bestFit="1" customWidth="1"/>
    <col min="12" max="12" width="12" style="10" customWidth="1"/>
    <col min="13" max="13" width="28.109375" style="10" customWidth="1"/>
    <col min="19" max="19" width="14.88671875" bestFit="1" customWidth="1"/>
    <col min="21" max="31" width="9.109375" customWidth="1"/>
    <col min="32" max="32" width="10.109375" bestFit="1" customWidth="1"/>
    <col min="35" max="35" width="32.88671875" bestFit="1" customWidth="1"/>
  </cols>
  <sheetData>
    <row r="1" spans="1:13" ht="25.5" customHeight="1"/>
    <row r="3" spans="1:13" ht="39.6" customHeight="1">
      <c r="B3" s="4" t="s">
        <v>474</v>
      </c>
      <c r="C3" s="4" t="s">
        <v>475</v>
      </c>
      <c r="D3" s="4" t="s">
        <v>476</v>
      </c>
      <c r="E3" s="4" t="s">
        <v>477</v>
      </c>
      <c r="F3" s="4" t="s">
        <v>478</v>
      </c>
      <c r="G3" s="4" t="s">
        <v>479</v>
      </c>
      <c r="H3" s="4" t="s">
        <v>480</v>
      </c>
      <c r="I3" s="4" t="s">
        <v>481</v>
      </c>
      <c r="J3" s="4" t="s">
        <v>482</v>
      </c>
      <c r="K3" s="4" t="s">
        <v>483</v>
      </c>
      <c r="L3" s="4" t="s">
        <v>484</v>
      </c>
      <c r="M3" s="4" t="s">
        <v>485</v>
      </c>
    </row>
    <row r="4" spans="1:13">
      <c r="B4" s="6" t="s">
        <v>486</v>
      </c>
      <c r="C4" s="6" t="s">
        <v>487</v>
      </c>
      <c r="D4" s="6" t="s">
        <v>406</v>
      </c>
      <c r="E4" s="7">
        <v>20700</v>
      </c>
      <c r="F4" s="7">
        <v>8613</v>
      </c>
      <c r="G4" s="7">
        <v>40941</v>
      </c>
      <c r="H4" s="7">
        <v>40941</v>
      </c>
      <c r="I4" s="8" t="s">
        <v>488</v>
      </c>
      <c r="J4" s="6" t="s">
        <v>489</v>
      </c>
      <c r="K4" s="9">
        <v>45070</v>
      </c>
      <c r="L4" s="9">
        <v>45077</v>
      </c>
      <c r="M4" s="8" t="s">
        <v>490</v>
      </c>
    </row>
    <row r="5" spans="1:13">
      <c r="B5" s="3"/>
      <c r="C5" s="3"/>
      <c r="D5" s="3"/>
      <c r="E5" s="3"/>
      <c r="F5" s="3"/>
      <c r="G5" s="3"/>
      <c r="H5" s="3"/>
      <c r="I5" s="3" t="s">
        <v>488</v>
      </c>
      <c r="J5" s="3"/>
      <c r="K5" s="3"/>
      <c r="L5" s="3"/>
      <c r="M5" s="3"/>
    </row>
    <row r="6" spans="1:13">
      <c r="B6" s="3"/>
      <c r="C6" s="3"/>
      <c r="D6" s="3"/>
      <c r="E6" s="3"/>
      <c r="F6" s="3"/>
      <c r="G6" s="3"/>
      <c r="H6" s="3"/>
      <c r="I6" s="3" t="s">
        <v>488</v>
      </c>
      <c r="J6" s="3"/>
      <c r="K6" s="3"/>
      <c r="L6" s="3"/>
      <c r="M6" s="3"/>
    </row>
    <row r="7" spans="1:13">
      <c r="B7" s="3"/>
      <c r="C7" s="3"/>
      <c r="D7" s="3"/>
      <c r="E7" s="3"/>
      <c r="F7" s="3"/>
      <c r="G7" s="3"/>
      <c r="H7" s="3"/>
      <c r="I7" s="3" t="s">
        <v>488</v>
      </c>
      <c r="J7" s="3"/>
      <c r="K7" s="3"/>
      <c r="L7" s="3"/>
      <c r="M7" s="3"/>
    </row>
    <row r="10" spans="1:13">
      <c r="G10" s="10" t="s">
        <v>54</v>
      </c>
    </row>
    <row r="11" spans="1:13">
      <c r="G11" s="10" t="s">
        <v>54</v>
      </c>
    </row>
    <row r="15" spans="1:13" ht="15.6" customHeight="1">
      <c r="A15" s="20" t="s">
        <v>491</v>
      </c>
    </row>
    <row r="16" spans="1:13" ht="15.6" customHeight="1" thickBot="1">
      <c r="A16" s="21" t="s">
        <v>492</v>
      </c>
    </row>
    <row r="17" spans="1:9" ht="17.399999999999999" customHeight="1" thickBot="1">
      <c r="A17" s="24"/>
      <c r="B17" s="25"/>
      <c r="C17" s="25"/>
      <c r="D17" s="25"/>
      <c r="E17" s="184" t="s">
        <v>493</v>
      </c>
      <c r="F17" s="185"/>
      <c r="G17" s="186" t="s">
        <v>494</v>
      </c>
      <c r="H17" s="185"/>
      <c r="I17" s="26"/>
    </row>
    <row r="18" spans="1:9" ht="28.2" customHeight="1" thickBot="1">
      <c r="A18" s="27" t="s">
        <v>2</v>
      </c>
      <c r="B18" s="28" t="s">
        <v>495</v>
      </c>
      <c r="C18" s="28" t="s">
        <v>496</v>
      </c>
      <c r="D18" s="28" t="s">
        <v>497</v>
      </c>
      <c r="E18" s="28" t="s">
        <v>498</v>
      </c>
      <c r="F18" s="28" t="s">
        <v>499</v>
      </c>
      <c r="G18" s="28" t="s">
        <v>498</v>
      </c>
      <c r="H18" s="28" t="s">
        <v>499</v>
      </c>
      <c r="I18" s="28" t="s">
        <v>500</v>
      </c>
    </row>
    <row r="19" spans="1:9" ht="15" customHeight="1" thickBot="1">
      <c r="A19" s="29"/>
      <c r="B19" s="30"/>
      <c r="C19" s="30"/>
      <c r="D19" s="30"/>
      <c r="E19" s="30"/>
      <c r="F19" s="30"/>
      <c r="G19" s="30"/>
      <c r="H19" s="30"/>
      <c r="I19" s="30"/>
    </row>
    <row r="20" spans="1:9" ht="15" customHeight="1" thickBot="1">
      <c r="A20" s="29"/>
      <c r="B20" s="30"/>
      <c r="C20" s="30"/>
      <c r="D20" s="30"/>
      <c r="E20" s="30"/>
      <c r="F20" s="30"/>
      <c r="G20" s="30"/>
      <c r="H20" s="30"/>
      <c r="I20" s="30"/>
    </row>
    <row r="21" spans="1:9" ht="29.4" customHeight="1" thickBot="1">
      <c r="A21" s="31">
        <v>7224553050</v>
      </c>
      <c r="B21" s="32" t="s">
        <v>501</v>
      </c>
      <c r="C21" s="32" t="s">
        <v>51</v>
      </c>
      <c r="D21" s="32" t="s">
        <v>502</v>
      </c>
      <c r="E21" s="33">
        <v>45123</v>
      </c>
      <c r="F21" s="33">
        <v>45130</v>
      </c>
      <c r="G21" s="34">
        <v>45133</v>
      </c>
      <c r="H21" s="34">
        <v>45140</v>
      </c>
      <c r="I21" s="35" t="s">
        <v>503</v>
      </c>
    </row>
    <row r="22" spans="1:9" ht="29.4" customHeight="1" thickBot="1">
      <c r="A22" s="31">
        <v>8826744079</v>
      </c>
      <c r="B22" s="32" t="s">
        <v>501</v>
      </c>
      <c r="C22" s="32" t="s">
        <v>51</v>
      </c>
      <c r="D22" s="32" t="s">
        <v>504</v>
      </c>
      <c r="E22" s="33">
        <v>45129</v>
      </c>
      <c r="F22" s="33">
        <v>45136</v>
      </c>
      <c r="G22" s="34">
        <v>45143</v>
      </c>
      <c r="H22" s="34">
        <v>45150</v>
      </c>
      <c r="I22" s="35" t="s">
        <v>505</v>
      </c>
    </row>
    <row r="23" spans="1:9" ht="28.2" customHeight="1" thickBot="1">
      <c r="A23" s="31">
        <v>7174553325</v>
      </c>
      <c r="B23" s="32" t="s">
        <v>501</v>
      </c>
      <c r="C23" s="32" t="s">
        <v>51</v>
      </c>
      <c r="D23" s="32" t="s">
        <v>506</v>
      </c>
      <c r="E23" s="33">
        <v>45162</v>
      </c>
      <c r="F23" s="33">
        <v>45169</v>
      </c>
      <c r="G23" s="34">
        <v>45162</v>
      </c>
      <c r="H23" s="34">
        <v>45169</v>
      </c>
      <c r="I23" s="35">
        <v>3161348037</v>
      </c>
    </row>
    <row r="24" spans="1:9" ht="28.2" customHeight="1" thickBot="1">
      <c r="A24" s="31">
        <v>7174553326</v>
      </c>
      <c r="B24" s="32" t="s">
        <v>501</v>
      </c>
      <c r="C24" s="32" t="s">
        <v>51</v>
      </c>
      <c r="D24" s="32" t="s">
        <v>506</v>
      </c>
      <c r="E24" s="33">
        <v>45176</v>
      </c>
      <c r="F24" s="33">
        <v>45183</v>
      </c>
      <c r="G24" s="34">
        <v>45176</v>
      </c>
      <c r="H24" s="34">
        <v>45183</v>
      </c>
      <c r="I24" s="35">
        <v>3161348038</v>
      </c>
    </row>
    <row r="25" spans="1:9" ht="28.2" customHeight="1" thickBot="1">
      <c r="A25" s="31">
        <v>7174553720</v>
      </c>
      <c r="B25" s="32" t="s">
        <v>501</v>
      </c>
      <c r="C25" s="32" t="s">
        <v>51</v>
      </c>
      <c r="D25" s="32" t="s">
        <v>506</v>
      </c>
      <c r="E25" s="33">
        <v>45176</v>
      </c>
      <c r="F25" s="33">
        <v>45183</v>
      </c>
      <c r="G25" s="34">
        <v>45183</v>
      </c>
      <c r="H25" s="34">
        <v>45190</v>
      </c>
      <c r="I25" s="35">
        <v>3161348042</v>
      </c>
    </row>
    <row r="26" spans="1:9" ht="28.2" customHeight="1" thickBot="1">
      <c r="A26" s="31">
        <v>7224553052</v>
      </c>
      <c r="B26" s="32" t="s">
        <v>501</v>
      </c>
      <c r="C26" s="32" t="s">
        <v>51</v>
      </c>
      <c r="D26" s="32" t="s">
        <v>502</v>
      </c>
      <c r="E26" s="33">
        <v>45151</v>
      </c>
      <c r="F26" s="33">
        <v>45158</v>
      </c>
      <c r="G26" s="34">
        <v>45161</v>
      </c>
      <c r="H26" s="34">
        <v>45168</v>
      </c>
      <c r="I26" s="35">
        <v>3161348040</v>
      </c>
    </row>
    <row r="27" spans="1:9" ht="28.2" customHeight="1" thickBot="1">
      <c r="A27" s="31">
        <v>7224553445</v>
      </c>
      <c r="B27" s="32" t="s">
        <v>501</v>
      </c>
      <c r="C27" s="32" t="s">
        <v>51</v>
      </c>
      <c r="D27" s="32" t="s">
        <v>502</v>
      </c>
      <c r="E27" s="33">
        <v>45176</v>
      </c>
      <c r="F27" s="33">
        <v>45183</v>
      </c>
      <c r="G27" s="34">
        <v>45183</v>
      </c>
      <c r="H27" s="34">
        <v>45190</v>
      </c>
      <c r="I27" s="35">
        <v>3161348044</v>
      </c>
    </row>
    <row r="28" spans="1:9" ht="15" customHeight="1" thickBot="1">
      <c r="A28" s="31">
        <v>8826744078</v>
      </c>
      <c r="B28" s="32" t="s">
        <v>501</v>
      </c>
      <c r="C28" s="32" t="s">
        <v>51</v>
      </c>
      <c r="D28" s="32" t="s">
        <v>504</v>
      </c>
      <c r="E28" s="33">
        <v>45157</v>
      </c>
      <c r="F28" s="33">
        <v>45164</v>
      </c>
      <c r="G28" s="34">
        <v>45171</v>
      </c>
      <c r="H28" s="34">
        <v>45178</v>
      </c>
      <c r="I28" s="35">
        <v>3161348036</v>
      </c>
    </row>
    <row r="29" spans="1:9" ht="15" customHeight="1" thickBot="1">
      <c r="A29" s="31">
        <v>8826744652</v>
      </c>
      <c r="B29" s="32" t="s">
        <v>501</v>
      </c>
      <c r="C29" s="32" t="s">
        <v>51</v>
      </c>
      <c r="D29" s="32" t="s">
        <v>504</v>
      </c>
      <c r="E29" s="33">
        <v>45176</v>
      </c>
      <c r="F29" s="33">
        <v>45183</v>
      </c>
      <c r="G29" s="34">
        <v>45183</v>
      </c>
      <c r="H29" s="34">
        <v>45190</v>
      </c>
      <c r="I29" s="35">
        <v>3161348041</v>
      </c>
    </row>
    <row r="30" spans="1:9" ht="15" customHeight="1" thickBot="1">
      <c r="A30" s="31">
        <v>9924533013</v>
      </c>
      <c r="B30" s="32" t="s">
        <v>501</v>
      </c>
      <c r="C30" s="32" t="s">
        <v>51</v>
      </c>
      <c r="D30" s="32" t="s">
        <v>507</v>
      </c>
      <c r="E30" s="33">
        <v>45166</v>
      </c>
      <c r="F30" s="33">
        <v>45173</v>
      </c>
      <c r="G30" s="34">
        <v>45166</v>
      </c>
      <c r="H30" s="34">
        <v>45173</v>
      </c>
      <c r="I30" s="35">
        <v>3161348039</v>
      </c>
    </row>
    <row r="31" spans="1:9" ht="15" customHeight="1" thickBot="1">
      <c r="A31" s="31">
        <v>9924533483</v>
      </c>
      <c r="B31" s="32" t="s">
        <v>501</v>
      </c>
      <c r="C31" s="32" t="s">
        <v>51</v>
      </c>
      <c r="D31" s="32" t="s">
        <v>507</v>
      </c>
      <c r="E31" s="33">
        <v>45176</v>
      </c>
      <c r="F31" s="33">
        <v>45183</v>
      </c>
      <c r="G31" s="34">
        <v>45183</v>
      </c>
      <c r="H31" s="34">
        <v>45190</v>
      </c>
      <c r="I31" s="35">
        <v>3161348043</v>
      </c>
    </row>
    <row r="32" spans="1:9" ht="29.4" customHeight="1" thickBot="1">
      <c r="A32" s="31">
        <v>7224553052</v>
      </c>
      <c r="B32" s="32" t="s">
        <v>501</v>
      </c>
      <c r="C32" s="32" t="s">
        <v>51</v>
      </c>
      <c r="D32" s="32" t="s">
        <v>502</v>
      </c>
      <c r="E32" s="33">
        <v>45151</v>
      </c>
      <c r="F32" s="33">
        <v>45158</v>
      </c>
      <c r="G32" s="34">
        <v>45161</v>
      </c>
      <c r="H32" s="34">
        <v>45168</v>
      </c>
      <c r="I32" s="36" t="s">
        <v>508</v>
      </c>
    </row>
    <row r="33" spans="1:1">
      <c r="A33" s="37"/>
    </row>
  </sheetData>
  <mergeCells count="2">
    <mergeCell ref="E17:F17"/>
    <mergeCell ref="G17:H17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7:K37"/>
  <sheetViews>
    <sheetView topLeftCell="A25" workbookViewId="0">
      <selection activeCell="H29" sqref="H29"/>
    </sheetView>
  </sheetViews>
  <sheetFormatPr defaultRowHeight="14.4"/>
  <cols>
    <col min="1" max="1" width="37.109375" bestFit="1" customWidth="1"/>
    <col min="2" max="2" width="14" bestFit="1" customWidth="1"/>
    <col min="3" max="3" width="23.6640625" bestFit="1" customWidth="1"/>
    <col min="4" max="5" width="15.5546875" bestFit="1" customWidth="1"/>
    <col min="6" max="6" width="9.44140625" bestFit="1" customWidth="1"/>
    <col min="7" max="7" width="26.109375" bestFit="1" customWidth="1"/>
    <col min="8" max="8" width="10.33203125" bestFit="1" customWidth="1"/>
    <col min="9" max="9" width="13.5546875" bestFit="1" customWidth="1"/>
    <col min="10" max="10" width="15.33203125" bestFit="1" customWidth="1"/>
    <col min="11" max="11" width="32.6640625" bestFit="1" customWidth="1"/>
  </cols>
  <sheetData>
    <row r="7" spans="1:11">
      <c r="A7" s="77" t="s">
        <v>509</v>
      </c>
      <c r="B7" s="78" t="s">
        <v>510</v>
      </c>
      <c r="C7" s="78" t="s">
        <v>511</v>
      </c>
      <c r="D7" s="78" t="s">
        <v>512</v>
      </c>
      <c r="E7" s="78" t="s">
        <v>513</v>
      </c>
      <c r="F7" s="78" t="s">
        <v>514</v>
      </c>
      <c r="G7" s="78" t="s">
        <v>421</v>
      </c>
      <c r="H7" s="78" t="s">
        <v>30</v>
      </c>
      <c r="I7" s="78" t="s">
        <v>515</v>
      </c>
      <c r="J7" s="78" t="s">
        <v>516</v>
      </c>
      <c r="K7" s="78" t="s">
        <v>517</v>
      </c>
    </row>
    <row r="8" spans="1:11">
      <c r="A8" s="72" t="s">
        <v>518</v>
      </c>
      <c r="B8" s="73">
        <v>3181218899</v>
      </c>
      <c r="C8" s="73" t="s">
        <v>519</v>
      </c>
      <c r="D8" s="74">
        <v>11555</v>
      </c>
      <c r="E8" s="74">
        <v>3268.25</v>
      </c>
      <c r="F8" s="74">
        <v>28597.119999999999</v>
      </c>
      <c r="G8" s="73" t="s">
        <v>520</v>
      </c>
      <c r="H8" s="75" t="s">
        <v>489</v>
      </c>
      <c r="I8" s="76">
        <f>J8-7</f>
        <v>45224</v>
      </c>
      <c r="J8" s="76">
        <v>45231</v>
      </c>
      <c r="K8" s="76" t="s">
        <v>521</v>
      </c>
    </row>
    <row r="9" spans="1:11">
      <c r="A9" s="72" t="s">
        <v>518</v>
      </c>
      <c r="B9" s="73">
        <v>3181218900</v>
      </c>
      <c r="C9" s="73" t="s">
        <v>522</v>
      </c>
      <c r="D9" s="74">
        <v>5459</v>
      </c>
      <c r="E9" s="74">
        <v>1686.72</v>
      </c>
      <c r="F9" s="74">
        <v>14920.96</v>
      </c>
      <c r="G9" s="73" t="s">
        <v>520</v>
      </c>
      <c r="H9" s="75" t="s">
        <v>489</v>
      </c>
      <c r="I9" s="76">
        <f>J9-7</f>
        <v>45254</v>
      </c>
      <c r="J9" s="76">
        <v>45261</v>
      </c>
      <c r="K9" s="76" t="s">
        <v>521</v>
      </c>
    </row>
    <row r="10" spans="1:11">
      <c r="A10" s="72" t="s">
        <v>518</v>
      </c>
      <c r="B10" s="73">
        <v>3181218901</v>
      </c>
      <c r="C10" s="73" t="s">
        <v>522</v>
      </c>
      <c r="D10" s="74">
        <v>2556</v>
      </c>
      <c r="E10" s="74">
        <v>1398.66</v>
      </c>
      <c r="F10" s="74">
        <v>13994.52</v>
      </c>
      <c r="G10" s="73" t="s">
        <v>523</v>
      </c>
      <c r="H10" s="75" t="s">
        <v>489</v>
      </c>
      <c r="I10" s="76">
        <f>J10-7</f>
        <v>45224</v>
      </c>
      <c r="J10" s="76">
        <v>45231</v>
      </c>
      <c r="K10" s="76" t="s">
        <v>521</v>
      </c>
    </row>
    <row r="11" spans="1:11">
      <c r="A11" s="72" t="s">
        <v>518</v>
      </c>
      <c r="B11" s="73">
        <v>3151501643</v>
      </c>
      <c r="C11" s="73" t="s">
        <v>519</v>
      </c>
      <c r="D11" s="73">
        <v>576</v>
      </c>
      <c r="E11" s="73">
        <v>715.01</v>
      </c>
      <c r="F11" s="74">
        <v>8472.9599999999991</v>
      </c>
      <c r="G11" s="73" t="s">
        <v>524</v>
      </c>
      <c r="H11" s="75" t="s">
        <v>489</v>
      </c>
      <c r="I11" s="76">
        <f>J11-7</f>
        <v>45224</v>
      </c>
      <c r="J11" s="76">
        <v>45231</v>
      </c>
      <c r="K11" s="76" t="s">
        <v>525</v>
      </c>
    </row>
    <row r="12" spans="1:11">
      <c r="A12" s="72" t="s">
        <v>518</v>
      </c>
      <c r="B12" s="73">
        <v>3151501644</v>
      </c>
      <c r="C12" s="73" t="s">
        <v>522</v>
      </c>
      <c r="D12" s="73">
        <v>564</v>
      </c>
      <c r="E12" s="73">
        <v>699.84</v>
      </c>
      <c r="F12" s="74">
        <v>8296.44</v>
      </c>
      <c r="G12" s="73" t="s">
        <v>524</v>
      </c>
      <c r="H12" s="75" t="s">
        <v>489</v>
      </c>
      <c r="I12" s="76">
        <f>J12-7</f>
        <v>45224</v>
      </c>
      <c r="J12" s="76">
        <v>45231</v>
      </c>
      <c r="K12" s="76" t="s">
        <v>521</v>
      </c>
    </row>
    <row r="18" spans="1:10">
      <c r="A18" s="79" t="s">
        <v>154</v>
      </c>
      <c r="B18" s="80" t="s">
        <v>526</v>
      </c>
      <c r="C18" s="80" t="s">
        <v>527</v>
      </c>
    </row>
    <row r="19" spans="1:10">
      <c r="A19" s="81"/>
      <c r="B19" s="82"/>
      <c r="C19" s="82"/>
    </row>
    <row r="20" spans="1:10" ht="15.6" customHeight="1">
      <c r="A20" s="83"/>
      <c r="B20" s="84"/>
      <c r="C20" s="84"/>
    </row>
    <row r="21" spans="1:10">
      <c r="A21" s="85" t="s">
        <v>528</v>
      </c>
      <c r="B21" s="82" t="s">
        <v>529</v>
      </c>
      <c r="C21" s="82">
        <v>4.82</v>
      </c>
      <c r="D21" s="5" t="s">
        <v>530</v>
      </c>
    </row>
    <row r="22" spans="1:10">
      <c r="A22" s="85" t="s">
        <v>528</v>
      </c>
      <c r="B22" s="82" t="s">
        <v>531</v>
      </c>
      <c r="C22" s="82">
        <v>4.7</v>
      </c>
      <c r="D22" s="5" t="s">
        <v>532</v>
      </c>
    </row>
    <row r="23" spans="1:10">
      <c r="A23" s="85" t="s">
        <v>528</v>
      </c>
      <c r="B23" s="82" t="s">
        <v>533</v>
      </c>
      <c r="C23" s="82">
        <v>2.66</v>
      </c>
      <c r="D23" s="5" t="s">
        <v>534</v>
      </c>
    </row>
    <row r="24" spans="1:10">
      <c r="A24" s="85" t="s">
        <v>528</v>
      </c>
      <c r="B24" s="82"/>
      <c r="C24" s="82"/>
    </row>
    <row r="25" spans="1:10">
      <c r="A25" s="81"/>
      <c r="B25" s="82"/>
      <c r="C25" s="82"/>
    </row>
    <row r="29" spans="1:10">
      <c r="A29" s="86" t="s">
        <v>535</v>
      </c>
      <c r="B29" s="86" t="s">
        <v>154</v>
      </c>
      <c r="C29" s="86" t="s">
        <v>536</v>
      </c>
      <c r="D29" s="86" t="s">
        <v>537</v>
      </c>
      <c r="E29" s="86" t="s">
        <v>538</v>
      </c>
      <c r="F29" s="86" t="s">
        <v>539</v>
      </c>
      <c r="G29" s="86" t="s">
        <v>540</v>
      </c>
      <c r="H29" s="86" t="s">
        <v>541</v>
      </c>
      <c r="I29" s="86" t="s">
        <v>542</v>
      </c>
      <c r="J29" s="86" t="s">
        <v>543</v>
      </c>
    </row>
    <row r="30" spans="1:10">
      <c r="A30" s="44" t="s">
        <v>544</v>
      </c>
      <c r="B30" s="87" t="s">
        <v>545</v>
      </c>
      <c r="C30" s="44">
        <v>230</v>
      </c>
      <c r="D30" s="87">
        <v>20.64</v>
      </c>
      <c r="E30" s="88" t="s">
        <v>546</v>
      </c>
      <c r="F30" s="44" t="s">
        <v>547</v>
      </c>
      <c r="G30" s="88" t="s">
        <v>548</v>
      </c>
      <c r="H30" s="88">
        <f t="shared" ref="H30:H37" si="0">C30*D30</f>
        <v>4747.2</v>
      </c>
      <c r="I30" s="89" t="s">
        <v>549</v>
      </c>
      <c r="J30" s="90" t="s">
        <v>550</v>
      </c>
    </row>
    <row r="31" spans="1:10">
      <c r="A31" s="44" t="s">
        <v>544</v>
      </c>
      <c r="B31" s="87" t="s">
        <v>551</v>
      </c>
      <c r="C31" s="44">
        <v>230</v>
      </c>
      <c r="D31" s="87">
        <v>20.64</v>
      </c>
      <c r="E31" s="88" t="s">
        <v>546</v>
      </c>
      <c r="F31" s="44" t="s">
        <v>552</v>
      </c>
      <c r="G31" s="88" t="s">
        <v>553</v>
      </c>
      <c r="H31" s="88">
        <f t="shared" si="0"/>
        <v>4747.2</v>
      </c>
      <c r="I31" s="44" t="s">
        <v>554</v>
      </c>
      <c r="J31" s="90" t="s">
        <v>555</v>
      </c>
    </row>
    <row r="32" spans="1:10">
      <c r="A32" s="44" t="s">
        <v>544</v>
      </c>
      <c r="B32" s="87" t="s">
        <v>556</v>
      </c>
      <c r="C32" s="44">
        <v>230</v>
      </c>
      <c r="D32" s="87">
        <v>20.64</v>
      </c>
      <c r="E32" s="88" t="s">
        <v>546</v>
      </c>
      <c r="F32" s="44" t="s">
        <v>557</v>
      </c>
      <c r="G32" s="88" t="s">
        <v>558</v>
      </c>
      <c r="H32" s="88">
        <f t="shared" si="0"/>
        <v>4747.2</v>
      </c>
      <c r="I32" s="44" t="s">
        <v>559</v>
      </c>
      <c r="J32" s="90" t="s">
        <v>560</v>
      </c>
    </row>
    <row r="33" spans="1:10">
      <c r="A33" s="91" t="s">
        <v>544</v>
      </c>
      <c r="B33" s="92" t="s">
        <v>561</v>
      </c>
      <c r="C33" s="44">
        <v>230</v>
      </c>
      <c r="D33" s="87">
        <v>20.64</v>
      </c>
      <c r="E33" s="93" t="s">
        <v>546</v>
      </c>
      <c r="F33" s="91" t="s">
        <v>562</v>
      </c>
      <c r="G33" s="93" t="s">
        <v>563</v>
      </c>
      <c r="H33" s="88">
        <f t="shared" si="0"/>
        <v>4747.2</v>
      </c>
      <c r="I33" s="91" t="s">
        <v>564</v>
      </c>
      <c r="J33" s="94" t="s">
        <v>565</v>
      </c>
    </row>
    <row r="34" spans="1:10">
      <c r="A34" s="44" t="s">
        <v>544</v>
      </c>
      <c r="B34" s="87" t="s">
        <v>566</v>
      </c>
      <c r="C34" s="44">
        <v>230</v>
      </c>
      <c r="D34" s="87">
        <v>20.64</v>
      </c>
      <c r="E34" s="88" t="s">
        <v>546</v>
      </c>
      <c r="F34" s="44" t="s">
        <v>567</v>
      </c>
      <c r="G34" s="88" t="s">
        <v>568</v>
      </c>
      <c r="H34" s="88">
        <f t="shared" si="0"/>
        <v>4747.2</v>
      </c>
      <c r="I34" s="95" t="s">
        <v>569</v>
      </c>
      <c r="J34" s="90" t="s">
        <v>570</v>
      </c>
    </row>
    <row r="35" spans="1:10">
      <c r="A35" s="44" t="s">
        <v>544</v>
      </c>
      <c r="B35" s="87" t="s">
        <v>571</v>
      </c>
      <c r="C35" s="44">
        <v>230</v>
      </c>
      <c r="D35" s="87">
        <v>20.64</v>
      </c>
      <c r="E35" s="88" t="s">
        <v>546</v>
      </c>
      <c r="F35" s="44" t="s">
        <v>572</v>
      </c>
      <c r="G35" s="88" t="s">
        <v>573</v>
      </c>
      <c r="H35" s="88">
        <f t="shared" si="0"/>
        <v>4747.2</v>
      </c>
      <c r="I35" s="44" t="s">
        <v>574</v>
      </c>
      <c r="J35" s="90" t="s">
        <v>575</v>
      </c>
    </row>
    <row r="36" spans="1:10">
      <c r="A36" s="44" t="s">
        <v>544</v>
      </c>
      <c r="B36" s="87" t="s">
        <v>576</v>
      </c>
      <c r="C36" s="44">
        <v>230</v>
      </c>
      <c r="D36" s="87">
        <v>20.64</v>
      </c>
      <c r="E36" s="88" t="s">
        <v>546</v>
      </c>
      <c r="F36" s="44" t="s">
        <v>577</v>
      </c>
      <c r="G36" s="88" t="s">
        <v>578</v>
      </c>
      <c r="H36" s="88">
        <f t="shared" si="0"/>
        <v>4747.2</v>
      </c>
      <c r="I36" s="44" t="s">
        <v>579</v>
      </c>
      <c r="J36" s="90" t="s">
        <v>580</v>
      </c>
    </row>
    <row r="37" spans="1:10">
      <c r="A37" s="44" t="s">
        <v>544</v>
      </c>
      <c r="B37" s="87" t="s">
        <v>581</v>
      </c>
      <c r="C37" s="44">
        <v>230</v>
      </c>
      <c r="D37" s="87">
        <v>20.64</v>
      </c>
      <c r="E37" s="88" t="s">
        <v>546</v>
      </c>
      <c r="F37" s="44" t="s">
        <v>582</v>
      </c>
      <c r="G37" s="88" t="s">
        <v>583</v>
      </c>
      <c r="H37" s="88">
        <f t="shared" si="0"/>
        <v>4747.2</v>
      </c>
      <c r="I37" s="44" t="s">
        <v>584</v>
      </c>
      <c r="J37" s="90" t="s">
        <v>585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/>
  <dimension ref="A2:K23"/>
  <sheetViews>
    <sheetView topLeftCell="B4" workbookViewId="0">
      <selection activeCell="A3" sqref="A3:K23"/>
    </sheetView>
  </sheetViews>
  <sheetFormatPr defaultRowHeight="14.4"/>
  <cols>
    <col min="1" max="1" width="14.5546875" bestFit="1" customWidth="1"/>
    <col min="2" max="2" width="26" bestFit="1" customWidth="1"/>
    <col min="3" max="3" width="43.44140625" bestFit="1" customWidth="1"/>
    <col min="4" max="4" width="16" bestFit="1" customWidth="1"/>
    <col min="5" max="5" width="15.33203125" bestFit="1" customWidth="1"/>
    <col min="6" max="6" width="32" bestFit="1" customWidth="1"/>
    <col min="7" max="7" width="16.33203125" bestFit="1" customWidth="1"/>
    <col min="8" max="8" width="8.109375" bestFit="1" customWidth="1"/>
    <col min="9" max="9" width="4.88671875" bestFit="1" customWidth="1"/>
    <col min="10" max="10" width="5" bestFit="1" customWidth="1"/>
  </cols>
  <sheetData>
    <row r="2" spans="1:11" ht="15" customHeight="1" thickBot="1"/>
    <row r="3" spans="1:11" ht="15" customHeight="1" thickBot="1">
      <c r="A3" s="66" t="s">
        <v>586</v>
      </c>
      <c r="B3" s="67" t="s">
        <v>587</v>
      </c>
      <c r="C3" s="67" t="s">
        <v>588</v>
      </c>
      <c r="D3" s="67" t="s">
        <v>589</v>
      </c>
      <c r="E3" s="67" t="s">
        <v>590</v>
      </c>
      <c r="F3" s="67" t="s">
        <v>591</v>
      </c>
      <c r="G3" s="67" t="s">
        <v>592</v>
      </c>
      <c r="H3" s="67" t="s">
        <v>593</v>
      </c>
      <c r="I3" s="67" t="s">
        <v>594</v>
      </c>
      <c r="J3" s="67" t="s">
        <v>595</v>
      </c>
      <c r="K3" s="67" t="s">
        <v>596</v>
      </c>
    </row>
    <row r="4" spans="1:11" ht="15" customHeight="1" thickBot="1">
      <c r="A4" s="68">
        <v>3151501639</v>
      </c>
      <c r="B4" s="69">
        <v>10</v>
      </c>
      <c r="C4" s="69" t="s">
        <v>597</v>
      </c>
      <c r="D4" s="69">
        <v>44034</v>
      </c>
      <c r="E4" s="69" t="s">
        <v>598</v>
      </c>
      <c r="F4" s="69" t="s">
        <v>599</v>
      </c>
      <c r="G4" s="69" t="s">
        <v>600</v>
      </c>
      <c r="H4" s="71">
        <v>1872</v>
      </c>
      <c r="I4" s="70">
        <v>20</v>
      </c>
      <c r="J4" s="70">
        <v>93.6</v>
      </c>
      <c r="K4" s="70">
        <f t="shared" ref="K4:K23" si="0">ROUNDDOWN(J4,0)*I4</f>
        <v>1860</v>
      </c>
    </row>
    <row r="5" spans="1:11" ht="15" customHeight="1" thickBot="1">
      <c r="A5" s="68">
        <v>3151501639</v>
      </c>
      <c r="B5" s="69">
        <v>30</v>
      </c>
      <c r="C5" s="69" t="s">
        <v>601</v>
      </c>
      <c r="D5" s="69">
        <v>44034</v>
      </c>
      <c r="E5" s="69" t="s">
        <v>602</v>
      </c>
      <c r="F5" s="69" t="s">
        <v>603</v>
      </c>
      <c r="G5" s="69" t="s">
        <v>600</v>
      </c>
      <c r="H5" s="70">
        <v>450</v>
      </c>
      <c r="I5" s="70">
        <v>20</v>
      </c>
      <c r="J5" s="70">
        <v>22.5</v>
      </c>
      <c r="K5" s="70">
        <f t="shared" si="0"/>
        <v>440</v>
      </c>
    </row>
    <row r="6" spans="1:11" ht="15" customHeight="1" thickBot="1">
      <c r="A6" s="68">
        <v>3151501639</v>
      </c>
      <c r="B6" s="69">
        <v>40</v>
      </c>
      <c r="C6" s="69" t="s">
        <v>604</v>
      </c>
      <c r="D6" s="69">
        <v>44034</v>
      </c>
      <c r="E6" s="69" t="s">
        <v>605</v>
      </c>
      <c r="F6" s="69" t="s">
        <v>606</v>
      </c>
      <c r="G6" s="69" t="s">
        <v>600</v>
      </c>
      <c r="H6" s="70">
        <v>654</v>
      </c>
      <c r="I6" s="70">
        <v>20</v>
      </c>
      <c r="J6" s="70">
        <v>32.700000000000003</v>
      </c>
      <c r="K6" s="70">
        <f t="shared" si="0"/>
        <v>640</v>
      </c>
    </row>
    <row r="7" spans="1:11" ht="15" customHeight="1" thickBot="1">
      <c r="A7" s="68">
        <v>3151501639</v>
      </c>
      <c r="B7" s="69">
        <v>50</v>
      </c>
      <c r="C7" s="69" t="s">
        <v>607</v>
      </c>
      <c r="D7" s="69">
        <v>44034</v>
      </c>
      <c r="E7" s="69" t="s">
        <v>608</v>
      </c>
      <c r="F7" s="69" t="s">
        <v>609</v>
      </c>
      <c r="G7" s="69" t="s">
        <v>600</v>
      </c>
      <c r="H7" s="71">
        <v>1872</v>
      </c>
      <c r="I7" s="70">
        <v>20</v>
      </c>
      <c r="J7" s="70">
        <v>93.6</v>
      </c>
      <c r="K7" s="70">
        <f t="shared" si="0"/>
        <v>1860</v>
      </c>
    </row>
    <row r="8" spans="1:11" ht="15" customHeight="1" thickBot="1">
      <c r="A8" s="68">
        <v>3151501639</v>
      </c>
      <c r="B8" s="69">
        <v>70</v>
      </c>
      <c r="C8" s="69" t="s">
        <v>610</v>
      </c>
      <c r="D8" s="69">
        <v>44034</v>
      </c>
      <c r="E8" s="69" t="s">
        <v>611</v>
      </c>
      <c r="F8" s="69" t="s">
        <v>612</v>
      </c>
      <c r="G8" s="69" t="s">
        <v>600</v>
      </c>
      <c r="H8" s="70">
        <v>450</v>
      </c>
      <c r="I8" s="70">
        <v>20</v>
      </c>
      <c r="J8" s="70">
        <v>22.5</v>
      </c>
      <c r="K8" s="70">
        <f t="shared" si="0"/>
        <v>440</v>
      </c>
    </row>
    <row r="9" spans="1:11" ht="15" customHeight="1" thickBot="1">
      <c r="A9" s="68">
        <v>3151501639</v>
      </c>
      <c r="B9" s="69">
        <v>80</v>
      </c>
      <c r="C9" s="69" t="s">
        <v>613</v>
      </c>
      <c r="D9" s="69">
        <v>44034</v>
      </c>
      <c r="E9" s="69" t="s">
        <v>614</v>
      </c>
      <c r="F9" s="69" t="s">
        <v>615</v>
      </c>
      <c r="G9" s="69" t="s">
        <v>600</v>
      </c>
      <c r="H9" s="70">
        <v>654</v>
      </c>
      <c r="I9" s="70">
        <v>20</v>
      </c>
      <c r="J9" s="70">
        <v>32.700000000000003</v>
      </c>
      <c r="K9" s="70">
        <f t="shared" si="0"/>
        <v>640</v>
      </c>
    </row>
    <row r="10" spans="1:11" ht="15" customHeight="1" thickBot="1">
      <c r="A10" s="68">
        <v>3151501640</v>
      </c>
      <c r="B10" s="69">
        <v>10</v>
      </c>
      <c r="C10" s="69" t="s">
        <v>597</v>
      </c>
      <c r="D10" s="69">
        <v>44034</v>
      </c>
      <c r="E10" s="69" t="s">
        <v>598</v>
      </c>
      <c r="F10" s="69" t="s">
        <v>599</v>
      </c>
      <c r="G10" s="69" t="s">
        <v>600</v>
      </c>
      <c r="H10" s="70">
        <v>132</v>
      </c>
      <c r="I10" s="70">
        <v>20</v>
      </c>
      <c r="J10" s="70">
        <v>6.6</v>
      </c>
      <c r="K10" s="70">
        <f t="shared" si="0"/>
        <v>120</v>
      </c>
    </row>
    <row r="11" spans="1:11" ht="15" customHeight="1" thickBot="1">
      <c r="A11" s="68">
        <v>3151501640</v>
      </c>
      <c r="B11" s="69">
        <v>30</v>
      </c>
      <c r="C11" s="69" t="s">
        <v>601</v>
      </c>
      <c r="D11" s="69">
        <v>44034</v>
      </c>
      <c r="E11" s="69" t="s">
        <v>602</v>
      </c>
      <c r="F11" s="69" t="s">
        <v>603</v>
      </c>
      <c r="G11" s="69" t="s">
        <v>600</v>
      </c>
      <c r="H11" s="70">
        <v>36</v>
      </c>
      <c r="I11" s="70">
        <v>20</v>
      </c>
      <c r="J11" s="70">
        <v>1.8</v>
      </c>
      <c r="K11" s="70">
        <f t="shared" si="0"/>
        <v>20</v>
      </c>
    </row>
    <row r="12" spans="1:11" ht="15" customHeight="1" thickBot="1">
      <c r="A12" s="68">
        <v>3151501640</v>
      </c>
      <c r="B12" s="69">
        <v>40</v>
      </c>
      <c r="C12" s="69" t="s">
        <v>604</v>
      </c>
      <c r="D12" s="69">
        <v>44034</v>
      </c>
      <c r="E12" s="69" t="s">
        <v>605</v>
      </c>
      <c r="F12" s="69" t="s">
        <v>606</v>
      </c>
      <c r="G12" s="69" t="s">
        <v>600</v>
      </c>
      <c r="H12" s="70">
        <v>54</v>
      </c>
      <c r="I12" s="70">
        <v>20</v>
      </c>
      <c r="J12" s="70">
        <v>2.7</v>
      </c>
      <c r="K12" s="70">
        <f t="shared" si="0"/>
        <v>40</v>
      </c>
    </row>
    <row r="13" spans="1:11" ht="15" customHeight="1" thickBot="1">
      <c r="A13" s="68">
        <v>3151501640</v>
      </c>
      <c r="B13" s="69">
        <v>50</v>
      </c>
      <c r="C13" s="69" t="s">
        <v>607</v>
      </c>
      <c r="D13" s="69">
        <v>44034</v>
      </c>
      <c r="E13" s="69" t="s">
        <v>608</v>
      </c>
      <c r="F13" s="69" t="s">
        <v>609</v>
      </c>
      <c r="G13" s="69" t="s">
        <v>600</v>
      </c>
      <c r="H13" s="70">
        <v>132</v>
      </c>
      <c r="I13" s="70">
        <v>20</v>
      </c>
      <c r="J13" s="70">
        <v>6.6</v>
      </c>
      <c r="K13" s="70">
        <f t="shared" si="0"/>
        <v>120</v>
      </c>
    </row>
    <row r="14" spans="1:11" ht="15" customHeight="1" thickBot="1">
      <c r="A14" s="68">
        <v>3151501640</v>
      </c>
      <c r="B14" s="69">
        <v>70</v>
      </c>
      <c r="C14" s="69" t="s">
        <v>610</v>
      </c>
      <c r="D14" s="69">
        <v>44034</v>
      </c>
      <c r="E14" s="69" t="s">
        <v>611</v>
      </c>
      <c r="F14" s="69" t="s">
        <v>612</v>
      </c>
      <c r="G14" s="69" t="s">
        <v>600</v>
      </c>
      <c r="H14" s="70">
        <v>36</v>
      </c>
      <c r="I14" s="70">
        <v>20</v>
      </c>
      <c r="J14" s="70">
        <v>1.8</v>
      </c>
      <c r="K14" s="70">
        <f t="shared" si="0"/>
        <v>20</v>
      </c>
    </row>
    <row r="15" spans="1:11" ht="15" customHeight="1" thickBot="1">
      <c r="A15" s="68">
        <v>3151501640</v>
      </c>
      <c r="B15" s="69">
        <v>80</v>
      </c>
      <c r="C15" s="69" t="s">
        <v>613</v>
      </c>
      <c r="D15" s="69">
        <v>44034</v>
      </c>
      <c r="E15" s="69" t="s">
        <v>614</v>
      </c>
      <c r="F15" s="69" t="s">
        <v>615</v>
      </c>
      <c r="G15" s="69" t="s">
        <v>600</v>
      </c>
      <c r="H15" s="70">
        <v>54</v>
      </c>
      <c r="I15" s="70">
        <v>20</v>
      </c>
      <c r="J15" s="70">
        <v>2.7</v>
      </c>
      <c r="K15" s="70">
        <f t="shared" si="0"/>
        <v>40</v>
      </c>
    </row>
    <row r="16" spans="1:11" ht="15" customHeight="1" thickBot="1">
      <c r="A16" s="68">
        <v>3151501641</v>
      </c>
      <c r="B16" s="69">
        <v>10</v>
      </c>
      <c r="C16" s="69" t="s">
        <v>597</v>
      </c>
      <c r="D16" s="69">
        <v>44034</v>
      </c>
      <c r="E16" s="69" t="s">
        <v>598</v>
      </c>
      <c r="F16" s="69" t="s">
        <v>599</v>
      </c>
      <c r="G16" s="69" t="s">
        <v>600</v>
      </c>
      <c r="H16" s="70">
        <v>996</v>
      </c>
      <c r="I16" s="70">
        <v>20</v>
      </c>
      <c r="J16" s="70">
        <v>49.8</v>
      </c>
      <c r="K16" s="70">
        <f t="shared" si="0"/>
        <v>980</v>
      </c>
    </row>
    <row r="17" spans="1:11" ht="15" customHeight="1" thickBot="1">
      <c r="A17" s="68">
        <v>3151501641</v>
      </c>
      <c r="B17" s="69">
        <v>20</v>
      </c>
      <c r="C17" s="69" t="s">
        <v>616</v>
      </c>
      <c r="D17" s="69">
        <v>44034</v>
      </c>
      <c r="E17" s="69" t="s">
        <v>617</v>
      </c>
      <c r="F17" s="69" t="s">
        <v>618</v>
      </c>
      <c r="G17" s="69" t="s">
        <v>600</v>
      </c>
      <c r="H17" s="70">
        <v>204</v>
      </c>
      <c r="I17" s="70">
        <v>30</v>
      </c>
      <c r="J17" s="70">
        <v>6.8</v>
      </c>
      <c r="K17" s="70">
        <f t="shared" si="0"/>
        <v>180</v>
      </c>
    </row>
    <row r="18" spans="1:11" ht="15" customHeight="1" thickBot="1">
      <c r="A18" s="68">
        <v>3151501641</v>
      </c>
      <c r="B18" s="69">
        <v>30</v>
      </c>
      <c r="C18" s="69" t="s">
        <v>601</v>
      </c>
      <c r="D18" s="69">
        <v>44034</v>
      </c>
      <c r="E18" s="69" t="s">
        <v>602</v>
      </c>
      <c r="F18" s="69" t="s">
        <v>603</v>
      </c>
      <c r="G18" s="69" t="s">
        <v>600</v>
      </c>
      <c r="H18" s="70">
        <v>246</v>
      </c>
      <c r="I18" s="70">
        <v>20</v>
      </c>
      <c r="J18" s="70">
        <v>12.3</v>
      </c>
      <c r="K18" s="70">
        <f t="shared" si="0"/>
        <v>240</v>
      </c>
    </row>
    <row r="19" spans="1:11" ht="15" customHeight="1" thickBot="1">
      <c r="A19" s="68">
        <v>3151501641</v>
      </c>
      <c r="B19" s="69">
        <v>40</v>
      </c>
      <c r="C19" s="69" t="s">
        <v>604</v>
      </c>
      <c r="D19" s="69">
        <v>44034</v>
      </c>
      <c r="E19" s="69" t="s">
        <v>605</v>
      </c>
      <c r="F19" s="69" t="s">
        <v>606</v>
      </c>
      <c r="G19" s="69" t="s">
        <v>600</v>
      </c>
      <c r="H19" s="70">
        <v>372</v>
      </c>
      <c r="I19" s="70">
        <v>20</v>
      </c>
      <c r="J19" s="70">
        <v>18.600000000000001</v>
      </c>
      <c r="K19" s="70">
        <f t="shared" si="0"/>
        <v>360</v>
      </c>
    </row>
    <row r="20" spans="1:11" ht="15" customHeight="1" thickBot="1">
      <c r="A20" s="68">
        <v>3151501641</v>
      </c>
      <c r="B20" s="69">
        <v>50</v>
      </c>
      <c r="C20" s="69" t="s">
        <v>607</v>
      </c>
      <c r="D20" s="69">
        <v>44034</v>
      </c>
      <c r="E20" s="69" t="s">
        <v>608</v>
      </c>
      <c r="F20" s="69" t="s">
        <v>609</v>
      </c>
      <c r="G20" s="69" t="s">
        <v>600</v>
      </c>
      <c r="H20" s="70">
        <v>996</v>
      </c>
      <c r="I20" s="70">
        <v>20</v>
      </c>
      <c r="J20" s="70">
        <v>49.8</v>
      </c>
      <c r="K20" s="70">
        <f t="shared" si="0"/>
        <v>980</v>
      </c>
    </row>
    <row r="21" spans="1:11" ht="15" customHeight="1" thickBot="1">
      <c r="A21" s="68">
        <v>3151501641</v>
      </c>
      <c r="B21" s="69">
        <v>60</v>
      </c>
      <c r="C21" s="69" t="s">
        <v>619</v>
      </c>
      <c r="D21" s="69">
        <v>44034</v>
      </c>
      <c r="E21" s="69" t="s">
        <v>620</v>
      </c>
      <c r="F21" s="69" t="s">
        <v>621</v>
      </c>
      <c r="G21" s="69" t="s">
        <v>600</v>
      </c>
      <c r="H21" s="70">
        <v>204</v>
      </c>
      <c r="I21" s="70">
        <v>30</v>
      </c>
      <c r="J21" s="70">
        <v>6.8</v>
      </c>
      <c r="K21" s="70">
        <f t="shared" si="0"/>
        <v>180</v>
      </c>
    </row>
    <row r="22" spans="1:11" ht="15" customHeight="1" thickBot="1">
      <c r="A22" s="68">
        <v>3151501641</v>
      </c>
      <c r="B22" s="69">
        <v>70</v>
      </c>
      <c r="C22" s="69" t="s">
        <v>610</v>
      </c>
      <c r="D22" s="69">
        <v>44034</v>
      </c>
      <c r="E22" s="69" t="s">
        <v>611</v>
      </c>
      <c r="F22" s="69" t="s">
        <v>612</v>
      </c>
      <c r="G22" s="69" t="s">
        <v>600</v>
      </c>
      <c r="H22" s="70">
        <v>246</v>
      </c>
      <c r="I22" s="70">
        <v>20</v>
      </c>
      <c r="J22" s="70">
        <v>12.3</v>
      </c>
      <c r="K22" s="70">
        <f t="shared" si="0"/>
        <v>240</v>
      </c>
    </row>
    <row r="23" spans="1:11" ht="15" customHeight="1" thickBot="1">
      <c r="A23" s="68">
        <v>3151501641</v>
      </c>
      <c r="B23" s="69">
        <v>80</v>
      </c>
      <c r="C23" s="69" t="s">
        <v>613</v>
      </c>
      <c r="D23" s="69">
        <v>44034</v>
      </c>
      <c r="E23" s="69" t="s">
        <v>614</v>
      </c>
      <c r="F23" s="69" t="s">
        <v>615</v>
      </c>
      <c r="G23" s="69" t="s">
        <v>600</v>
      </c>
      <c r="H23" s="70">
        <v>372</v>
      </c>
      <c r="I23" s="70">
        <v>20</v>
      </c>
      <c r="J23" s="70">
        <v>18.600000000000001</v>
      </c>
      <c r="K23" s="70">
        <f t="shared" si="0"/>
        <v>360</v>
      </c>
    </row>
  </sheetData>
  <autoFilter ref="A3:K3" xr:uid="{00000000-0009-0000-0000-000008000000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SO CREATION SHEET</vt:lpstr>
      <vt:lpstr>Sheet8</vt:lpstr>
      <vt:lpstr>Sheet5</vt:lpstr>
      <vt:lpstr>Sheet7</vt:lpstr>
      <vt:lpstr>Sheet4</vt:lpstr>
      <vt:lpstr>Sheet1</vt:lpstr>
      <vt:lpstr>Sheet3</vt:lpstr>
      <vt:lpstr>Sheet6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Chetan Patel</dc:creator>
  <cp:lastModifiedBy>Ajay Kanki</cp:lastModifiedBy>
  <dcterms:created xsi:type="dcterms:W3CDTF">2018-06-25T05:04:10Z</dcterms:created>
  <dcterms:modified xsi:type="dcterms:W3CDTF">2025-04-18T13:44:44Z</dcterms:modified>
</cp:coreProperties>
</file>