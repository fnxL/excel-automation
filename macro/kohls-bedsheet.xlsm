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esktop\Projects\pdf-excel-automation\macro\"/>
    </mc:Choice>
  </mc:AlternateContent>
  <xr:revisionPtr revIDLastSave="0" documentId="13_ncr:1_{882EA8E0-A0A5-4161-BC10-645F3B3305FB}" xr6:coauthVersionLast="47" xr6:coauthVersionMax="47" xr10:uidLastSave="{00000000-0000-0000-0000-000000000000}"/>
  <bookViews>
    <workbookView xWindow="3744" yWindow="2268" windowWidth="26124" windowHeight="12204" xr2:uid="{00000000-000D-0000-FFFF-FFFF00000000}"/>
  </bookViews>
  <sheets>
    <sheet name="WALMART" sheetId="301" r:id="rId1"/>
    <sheet name="Sheet1" sheetId="302" r:id="rId2"/>
    <sheet name="Sheet3" sheetId="304" r:id="rId3"/>
    <sheet name="Sheet2" sheetId="303" r:id="rId4"/>
  </sheets>
  <externalReferences>
    <externalReference r:id="rId5"/>
  </externalReferences>
  <definedNames>
    <definedName name="_xlnm._FilterDatabase" localSheetId="1" hidden="1">Sheet1!$F$2:$P$20</definedName>
    <definedName name="_xlnm._FilterDatabase" localSheetId="3" hidden="1">Sheet2!$O$2:$X$12</definedName>
    <definedName name="_xlnm._FilterDatabase" localSheetId="0" hidden="1">WALMART!$A$1:$AA$2</definedName>
    <definedName name="New_Cont">'[1]Data (other)'!$M$3:$M$6</definedName>
  </definedNames>
  <calcPr calcId="191029"/>
</workbook>
</file>

<file path=xl/calcChain.xml><?xml version="1.0" encoding="utf-8"?>
<calcChain xmlns="http://schemas.openxmlformats.org/spreadsheetml/2006/main">
  <c r="J14" i="302" l="1"/>
  <c r="D42" i="303" l="1"/>
</calcChain>
</file>

<file path=xl/sharedStrings.xml><?xml version="1.0" encoding="utf-8"?>
<sst xmlns="http://schemas.openxmlformats.org/spreadsheetml/2006/main" count="251" uniqueCount="193">
  <si>
    <t>Fast data entry</t>
  </si>
  <si>
    <t>PO</t>
  </si>
  <si>
    <t>SO#</t>
  </si>
  <si>
    <t>SOLD TO PARTY</t>
  </si>
  <si>
    <t>PAYMENT 
TERM</t>
  </si>
  <si>
    <t>INCO
TERMS</t>
  </si>
  <si>
    <t>INCOTERM 2</t>
  </si>
  <si>
    <t>END 
CUSTOMER</t>
  </si>
  <si>
    <t>CHANNEL TYPE</t>
  </si>
  <si>
    <t>SUB 
CHANNEL TYPE</t>
  </si>
  <si>
    <t>ORDER TYPE</t>
  </si>
  <si>
    <t>SHIP START DATE</t>
  </si>
  <si>
    <t>SHIP CANCEL DATE</t>
  </si>
  <si>
    <t>PORT OF SHIPMENT</t>
  </si>
  <si>
    <t>DESTINATION</t>
  </si>
  <si>
    <t xml:space="preserve">COUNTRY </t>
  </si>
  <si>
    <t>PORT OF LOADING</t>
  </si>
  <si>
    <t>MatCode</t>
  </si>
  <si>
    <t>Order Quantity</t>
  </si>
  <si>
    <t>Customer 
material</t>
  </si>
  <si>
    <t>PIS</t>
  </si>
  <si>
    <t>SHIP TO PARTY</t>
  </si>
  <si>
    <t>NOTIFY</t>
  </si>
  <si>
    <t>A/C HOLDER</t>
  </si>
  <si>
    <t>plant</t>
  </si>
  <si>
    <t>Purchase Order#</t>
  </si>
  <si>
    <t>Article #</t>
  </si>
  <si>
    <t>Article Description</t>
  </si>
  <si>
    <t>Order Qty</t>
  </si>
  <si>
    <t>SMHS-SS-CALK-01</t>
  </si>
  <si>
    <t>SAMS 500TC SHEET, CAL KING, ARCTIC WHITE</t>
  </si>
  <si>
    <t>SMHS-SS-CALK-02</t>
  </si>
  <si>
    <t>SAMS 500TC SHEET, CAL KING, BLACK BEAUTY</t>
  </si>
  <si>
    <t>SMHS-SS-CALK-03</t>
  </si>
  <si>
    <t>SAMS 500TC SHEETS, CAL KING, GREEN RIVER</t>
  </si>
  <si>
    <t>SMHS-SS-CALK-04</t>
  </si>
  <si>
    <t>SAMS 500TC SHEET, CAL KING, Grey Flannel</t>
  </si>
  <si>
    <t>SMHS-SS-CALK-05</t>
  </si>
  <si>
    <t>SAMS 500TC SHEETS, CAL KING, Indigo Blue</t>
  </si>
  <si>
    <t>SMHS-SS-CALK-06</t>
  </si>
  <si>
    <t>SAMS 500TC SHEETSET, CAL KING, OLD ROSE</t>
  </si>
  <si>
    <t>SMHS-SS-CALK-07</t>
  </si>
  <si>
    <t>SAMS 500TC SHEETS, CAL KING, SOFT SILVER</t>
  </si>
  <si>
    <t>SMHS-SS-CALK-09</t>
  </si>
  <si>
    <t>SAMS 500TC SHEE, CAL KING, WASHED INDIGO</t>
  </si>
  <si>
    <t>SMHS-SS-FULL-01</t>
  </si>
  <si>
    <t>SAMS 500TC SHEETSET, Full, ARCTIC WHITE</t>
  </si>
  <si>
    <t>SMHS-SS-FULL-02</t>
  </si>
  <si>
    <t>SAMS 500TC SHEETSET, Full, BLACK BEAUTY</t>
  </si>
  <si>
    <t>SMHS-SS-FULL-03</t>
  </si>
  <si>
    <t>SAMS 500TC SHEETSET D, Full, GREEN RIVER</t>
  </si>
  <si>
    <t>SMHS-SS-FULL-04</t>
  </si>
  <si>
    <t>SAMS 500TC SHEETSET, Full, Grey Flannel</t>
  </si>
  <si>
    <t>SMHS-SS-FULL-05</t>
  </si>
  <si>
    <t>SAMS 500TC SHEETSET D, Full, Indigo Blue</t>
  </si>
  <si>
    <t>SMHS-SS-FULL-06</t>
  </si>
  <si>
    <t>SAMS 500TC SHEETSET DOTC, Full, OLD ROSE</t>
  </si>
  <si>
    <t>SMHS-SS-FULL-07</t>
  </si>
  <si>
    <t>SAMS 500TC SHEETSET D, Full, SOFT SILVER</t>
  </si>
  <si>
    <t>SMHS-SS-FULL-09</t>
  </si>
  <si>
    <t>SAMS 500TC SHEETSET, Full, WASHED INDIGO</t>
  </si>
  <si>
    <t>SMHS-SS-KING-01</t>
  </si>
  <si>
    <t>SAMS 500TC SHEETSET, King, ARCTIC WHITE</t>
  </si>
  <si>
    <t>SMHS-SS-KING-02</t>
  </si>
  <si>
    <t>SAMS 500TC SHEETSET, King, BLACK BEAUTY</t>
  </si>
  <si>
    <t>SMHS-SS-KING-03</t>
  </si>
  <si>
    <t>SAMS 500TC SHEETSET D, King, GREEN RIVER</t>
  </si>
  <si>
    <t>SMHS-SS-KING-04</t>
  </si>
  <si>
    <t>SAMS 500TC SHEETSET, King, Grey Flannel</t>
  </si>
  <si>
    <t>SMHS-SS-KING-05</t>
  </si>
  <si>
    <t>SAMS 500TC SHEETSET D, King, Indigo Blue</t>
  </si>
  <si>
    <t>SMHS-SS-KING-06</t>
  </si>
  <si>
    <t>SAMS 500TC SHEETSET DOTC, King, OLD ROSE</t>
  </si>
  <si>
    <t>SMHS-SS-KING-07</t>
  </si>
  <si>
    <t>SAMS 500TC SHEETSET D, King, SOFT SILVER</t>
  </si>
  <si>
    <t>SMHS-SS-KING-09</t>
  </si>
  <si>
    <t>SAMS 500TC SHEETSET, King, WASHED INDIGO</t>
  </si>
  <si>
    <t>SMHS-SS-QUEN-01</t>
  </si>
  <si>
    <t>SAMS 500TC SHEETSET, Queen, ARCTIC WHITE</t>
  </si>
  <si>
    <t>SMHS-SS-QUEN-02</t>
  </si>
  <si>
    <t>SAMS 500TC SHEETSET, Queen, BLACK BEAUTY</t>
  </si>
  <si>
    <t>SMHS-SS-QUEN-03</t>
  </si>
  <si>
    <t>SAMS 500TC SHEETSET, Queen, GREEN RIVER</t>
  </si>
  <si>
    <t>SMHS-SS-QUEN-04</t>
  </si>
  <si>
    <t>SAMS 500TC SHEETSET, Queen, Grey Flannel</t>
  </si>
  <si>
    <t>SMHS-SS-QUEN-05</t>
  </si>
  <si>
    <t>SAMS 500TC SHEETSET, Queen, Indigo Blue</t>
  </si>
  <si>
    <t>SMHS-SS-QUEN-06</t>
  </si>
  <si>
    <t>SAMS 500TC SHEETSET DOT, Queen, OLD ROSE</t>
  </si>
  <si>
    <t>SMHS-SS-QUEN-07</t>
  </si>
  <si>
    <t>SAMS 500TC SHEETSET, Queen, SOFT SILVER</t>
  </si>
  <si>
    <t>SMHS-SS-QUEN-09</t>
  </si>
  <si>
    <t>SAMS 500TC SHEETSE, Queen, WASHED INDIGO</t>
  </si>
  <si>
    <t>SMHS-SS-TWIN-01</t>
  </si>
  <si>
    <t>SAMS 500TC SHEETSET, Twin, ARCTIC WHITE</t>
  </si>
  <si>
    <t>SMHS-SS-TWIN-02</t>
  </si>
  <si>
    <t>SAMS 500TC SHEETSET, Twin, BLACK BEAUTY</t>
  </si>
  <si>
    <t>SMHS-SS-TWIN-03</t>
  </si>
  <si>
    <t>SAMS 500TC SHEETSET D, Twin, GREEN RIVER</t>
  </si>
  <si>
    <t>SMHS-SS-TWIN-04</t>
  </si>
  <si>
    <t>SAMS 500TC SHEETSET, Twin, Grey Flannel</t>
  </si>
  <si>
    <t>SMHS-SS-TWIN-05</t>
  </si>
  <si>
    <t>SAMS 500TC SHEETSET D, Twin, Indigo Blue</t>
  </si>
  <si>
    <t>SMHS-SS-TWIN-06</t>
  </si>
  <si>
    <t>SAMS 500TC SHEETSET DOTC, Twin, OLD ROSE</t>
  </si>
  <si>
    <t>SMHS-SS-TWIN-07</t>
  </si>
  <si>
    <t>SAMS 500TC SHEETSET D, Twin, SOFT SILVER</t>
  </si>
  <si>
    <t>SMHS-SS-TWIN-09</t>
  </si>
  <si>
    <t>SAMS 500TC SHEETSET, Twin, WASHED INDIGO</t>
  </si>
  <si>
    <t>200 TC DUVET NEW SO</t>
  </si>
  <si>
    <t>OLD SO</t>
  </si>
  <si>
    <t>NEW WIL SO</t>
  </si>
  <si>
    <t>200 TC FITTED NEW SO</t>
  </si>
  <si>
    <t>STK CODE</t>
  </si>
  <si>
    <t>DESCRIPTION</t>
  </si>
  <si>
    <t>RATE</t>
  </si>
  <si>
    <t>QTY</t>
  </si>
  <si>
    <t>VALYE</t>
  </si>
  <si>
    <t>MATCODE</t>
  </si>
  <si>
    <t>SORT</t>
  </si>
  <si>
    <t>SHADE</t>
  </si>
  <si>
    <t>SET</t>
  </si>
  <si>
    <t>Egyptian Bath Sheet Linen 1</t>
  </si>
  <si>
    <t>TFAC613ES2P</t>
  </si>
  <si>
    <t>FVTKL1257</t>
  </si>
  <si>
    <t>Egyptian Bt Linen 1</t>
  </si>
  <si>
    <t>TFAC613EB0P</t>
  </si>
  <si>
    <t>Egyptian Face Cloth x2 Linen 2</t>
  </si>
  <si>
    <t>TFAC613EX1P</t>
  </si>
  <si>
    <t>AC613SETCB</t>
  </si>
  <si>
    <t>Egyptian Hand Towel Linen 1</t>
  </si>
  <si>
    <t>TFAC613EH2P</t>
  </si>
  <si>
    <t>WR ANYDAY FJORD BATH SHEET 1</t>
  </si>
  <si>
    <t>TFAQ732MS0P</t>
  </si>
  <si>
    <t>FVTGE0144</t>
  </si>
  <si>
    <t>WR ANYDAY FJORD BATH TOWEL 1</t>
  </si>
  <si>
    <t>TFAQ732MB0P</t>
  </si>
  <si>
    <t>WR ANYDAY FJORD HAND TOWEL 1</t>
  </si>
  <si>
    <t>TFAQ732MH0P</t>
  </si>
  <si>
    <t>WR ANYDAY TEAL BATH SHEET 1</t>
  </si>
  <si>
    <t>FVTBL0929</t>
  </si>
  <si>
    <t>WR ANYDAY TEAL BATH TOWEL 1</t>
  </si>
  <si>
    <t>WR ANYDAY TEAL HAND TOWEL 1</t>
  </si>
  <si>
    <t>Sold to party</t>
  </si>
  <si>
    <t>Sales Order</t>
  </si>
  <si>
    <t>Buyer PO NO</t>
  </si>
  <si>
    <t>So order Qty</t>
  </si>
  <si>
    <t>SO Value</t>
  </si>
  <si>
    <t>Destination</t>
  </si>
  <si>
    <t>Ship start Date</t>
  </si>
  <si>
    <t>Ship cancel Date</t>
  </si>
  <si>
    <t>First Pis number</t>
  </si>
  <si>
    <t>DAMMAM</t>
  </si>
  <si>
    <t>HAMAD</t>
  </si>
  <si>
    <t>AJMAN</t>
  </si>
  <si>
    <t xml:space="preserve"> </t>
  </si>
  <si>
    <t>Order type</t>
  </si>
  <si>
    <t>Currency</t>
  </si>
  <si>
    <t>FS5906P200F1AN01</t>
  </si>
  <si>
    <t>FS5906P200F1AN02</t>
  </si>
  <si>
    <t>FS5906P200F1AN03</t>
  </si>
  <si>
    <t>FS5906P200GPAN01</t>
  </si>
  <si>
    <t>FS5906P200GPAN02</t>
  </si>
  <si>
    <t>FS5906P200GPAN03</t>
  </si>
  <si>
    <t>FS6053S320APX01A</t>
  </si>
  <si>
    <t>FS6053S320APX02A</t>
  </si>
  <si>
    <t>FS6053S320APX03A</t>
  </si>
  <si>
    <t>FS6053S320APX04A</t>
  </si>
  <si>
    <t>FS6053S320Q1X01</t>
  </si>
  <si>
    <t>FS6053S320Q1X02</t>
  </si>
  <si>
    <t>FS6053S320Q1X03</t>
  </si>
  <si>
    <t>FS6053S320Q1X04</t>
  </si>
  <si>
    <t>ZWE2</t>
  </si>
  <si>
    <t>PRODUCTION SO</t>
  </si>
  <si>
    <t>PROGRAM</t>
  </si>
  <si>
    <t>RNA RESOURCES LTD - BABYSHOP</t>
  </si>
  <si>
    <t>BNA/46693/24-1733130</t>
  </si>
  <si>
    <t>YD HOODED TOWEL</t>
  </si>
  <si>
    <t>JEBEL ALI</t>
  </si>
  <si>
    <t>Ord KG</t>
  </si>
  <si>
    <t>YD STRIPED TOWEL</t>
  </si>
  <si>
    <t></t>
  </si>
  <si>
    <t>Progra,</t>
  </si>
  <si>
    <t>Babyshop - YD Stripe</t>
  </si>
  <si>
    <t>BSMY</t>
  </si>
  <si>
    <t>E2E CLARITY</t>
  </si>
  <si>
    <t>PO Path</t>
  </si>
  <si>
    <t>NO</t>
  </si>
  <si>
    <t>Dynamic Credit(YES/NO)</t>
  </si>
  <si>
    <t>PO availability date</t>
  </si>
  <si>
    <t>PO File name</t>
  </si>
  <si>
    <t>PO File format</t>
  </si>
  <si>
    <t>C:\Users\024492\Documents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</si>
</sst>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[$-F800]dddd\,\ mmmm\ dd\,\ yyyy"/>
    <numFmt numFmtId="165" formatCode="[$-14009]dd/mm/yyyy;@"/>
  </numFmts>
  <fonts count="50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20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9"/>
      <color rgb="FF000000"/>
      <name val="Calibri"/>
      <family val="2"/>
    </font>
    <font>
      <b/>
      <sz val="9"/>
      <color rgb="FF000000"/>
      <name val="Calibri"/>
      <family val="2"/>
    </font>
    <font>
      <sz val="11"/>
      <color rgb="FF000000"/>
      <name val="Times New Roman"/>
      <family val="1"/>
    </font>
    <font>
      <sz val="12"/>
      <color rgb="FF242424"/>
      <name val="ControlIcons"/>
    </font>
    <font>
      <b/>
      <sz val="14"/>
      <color rgb="FF2F2E7B"/>
      <name val="Times New Roman"/>
      <family val="1"/>
    </font>
    <font>
      <sz val="11"/>
      <color rgb="FF000000"/>
      <name val="Cambria"/>
      <family val="1"/>
    </font>
    <font>
      <sz val="12"/>
      <color rgb="FF000000"/>
      <name val="Calibri"/>
      <family val="2"/>
      <scheme val="minor"/>
    </font>
    <font>
      <b/>
      <sz val="12"/>
      <color rgb="FF000000"/>
      <name val="Inherit"/>
    </font>
    <font>
      <sz val="12"/>
      <color theme="1"/>
      <name val="ControlIcons"/>
    </font>
    <font>
      <sz val="15"/>
      <color rgb="FF242424"/>
      <name val="FluentSystemIcons"/>
    </font>
    <font>
      <sz val="11"/>
      <color rgb="FF174E86"/>
      <name val="Calibri"/>
      <family val="2"/>
    </font>
    <font>
      <b/>
      <sz val="11"/>
      <color rgb="FF174E86"/>
      <name val="Inherit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DE9D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97">
    <xf numFmtId="0" fontId="0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3" fillId="12" borderId="0" applyNumberFormat="0" applyBorder="0" applyAlignment="0" applyProtection="0"/>
    <xf numFmtId="0" fontId="3" fillId="16" borderId="0" applyNumberFormat="0" applyBorder="0" applyAlignment="0" applyProtection="0"/>
    <xf numFmtId="0" fontId="3" fillId="20" borderId="0" applyNumberFormat="0" applyBorder="0" applyAlignment="0" applyProtection="0"/>
    <xf numFmtId="0" fontId="3" fillId="24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13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19" fillId="14" borderId="0" applyNumberFormat="0" applyBorder="0" applyAlignment="0" applyProtection="0"/>
    <xf numFmtId="0" fontId="19" fillId="18" borderId="0" applyNumberFormat="0" applyBorder="0" applyAlignment="0" applyProtection="0"/>
    <xf numFmtId="0" fontId="19" fillId="22" borderId="0" applyNumberFormat="0" applyBorder="0" applyAlignment="0" applyProtection="0"/>
    <xf numFmtId="0" fontId="19" fillId="26" borderId="0" applyNumberFormat="0" applyBorder="0" applyAlignment="0" applyProtection="0"/>
    <xf numFmtId="0" fontId="19" fillId="30" borderId="0" applyNumberFormat="0" applyBorder="0" applyAlignment="0" applyProtection="0"/>
    <xf numFmtId="0" fontId="19" fillId="34" borderId="0" applyNumberFormat="0" applyBorder="0" applyAlignment="0" applyProtection="0"/>
    <xf numFmtId="0" fontId="19" fillId="11" borderId="0" applyNumberFormat="0" applyBorder="0" applyAlignment="0" applyProtection="0"/>
    <xf numFmtId="0" fontId="19" fillId="15" borderId="0" applyNumberFormat="0" applyBorder="0" applyAlignment="0" applyProtection="0"/>
    <xf numFmtId="0" fontId="19" fillId="19" borderId="0" applyNumberFormat="0" applyBorder="0" applyAlignment="0" applyProtection="0"/>
    <xf numFmtId="0" fontId="19" fillId="23" borderId="0" applyNumberFormat="0" applyBorder="0" applyAlignment="0" applyProtection="0"/>
    <xf numFmtId="0" fontId="19" fillId="27" borderId="0" applyNumberFormat="0" applyBorder="0" applyAlignment="0" applyProtection="0"/>
    <xf numFmtId="0" fontId="19" fillId="31" borderId="0" applyNumberFormat="0" applyBorder="0" applyAlignment="0" applyProtection="0"/>
    <xf numFmtId="0" fontId="9" fillId="5" borderId="0" applyNumberFormat="0" applyBorder="0" applyAlignment="0" applyProtection="0"/>
    <xf numFmtId="0" fontId="13" fillId="8" borderId="5" applyNumberFormat="0" applyAlignment="0" applyProtection="0"/>
    <xf numFmtId="0" fontId="15" fillId="9" borderId="8" applyNumberFormat="0" applyAlignment="0" applyProtection="0"/>
    <xf numFmtId="0" fontId="1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11" fillId="7" borderId="5" applyNumberFormat="0" applyAlignment="0" applyProtection="0"/>
    <xf numFmtId="0" fontId="14" fillId="0" borderId="7" applyNumberFormat="0" applyFill="0" applyAlignment="0" applyProtection="0"/>
    <xf numFmtId="0" fontId="10" fillId="6" borderId="0" applyNumberFormat="0" applyBorder="0" applyAlignment="0" applyProtection="0"/>
    <xf numFmtId="0" fontId="3" fillId="10" borderId="9" applyNumberFormat="0" applyFont="0" applyAlignment="0" applyProtection="0"/>
    <xf numFmtId="0" fontId="12" fillId="8" borderId="6" applyNumberFormat="0" applyAlignment="0" applyProtection="0"/>
    <xf numFmtId="0" fontId="4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6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0" fillId="0" borderId="2" applyNumberFormat="0" applyFill="0" applyAlignment="0" applyProtection="0"/>
    <xf numFmtId="0" fontId="21" fillId="0" borderId="3" applyNumberFormat="0" applyFill="0" applyAlignment="0" applyProtection="0"/>
    <xf numFmtId="0" fontId="22" fillId="0" borderId="4" applyNumberFormat="0" applyFill="0" applyAlignment="0" applyProtection="0"/>
    <xf numFmtId="0" fontId="22" fillId="0" borderId="0" applyNumberFormat="0" applyFill="0" applyBorder="0" applyAlignment="0" applyProtection="0"/>
    <xf numFmtId="0" fontId="23" fillId="4" borderId="0" applyNumberFormat="0" applyBorder="0" applyAlignment="0" applyProtection="0"/>
    <xf numFmtId="0" fontId="24" fillId="5" borderId="0" applyNumberFormat="0" applyBorder="0" applyAlignment="0" applyProtection="0"/>
    <xf numFmtId="0" fontId="25" fillId="6" borderId="0" applyNumberFormat="0" applyBorder="0" applyAlignment="0" applyProtection="0"/>
    <xf numFmtId="0" fontId="26" fillId="7" borderId="5" applyNumberFormat="0" applyAlignment="0" applyProtection="0"/>
    <xf numFmtId="0" fontId="27" fillId="8" borderId="6" applyNumberFormat="0" applyAlignment="0" applyProtection="0"/>
    <xf numFmtId="0" fontId="28" fillId="8" borderId="5" applyNumberFormat="0" applyAlignment="0" applyProtection="0"/>
    <xf numFmtId="0" fontId="29" fillId="0" borderId="7" applyNumberFormat="0" applyFill="0" applyAlignment="0" applyProtection="0"/>
    <xf numFmtId="0" fontId="30" fillId="9" borderId="8" applyNumberFormat="0" applyAlignment="0" applyProtection="0"/>
    <xf numFmtId="0" fontId="31" fillId="0" borderId="0" applyNumberFormat="0" applyFill="0" applyBorder="0" applyAlignment="0" applyProtection="0"/>
    <xf numFmtId="0" fontId="2" fillId="10" borderId="9" applyNumberFormat="0" applyFont="0" applyAlignment="0" applyProtection="0"/>
    <xf numFmtId="0" fontId="32" fillId="0" borderId="0" applyNumberFormat="0" applyFill="0" applyBorder="0" applyAlignment="0" applyProtection="0"/>
    <xf numFmtId="0" fontId="33" fillId="0" borderId="10" applyNumberFormat="0" applyFill="0" applyAlignment="0" applyProtection="0"/>
    <xf numFmtId="0" fontId="34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34" fillId="22" borderId="0" applyNumberFormat="0" applyBorder="0" applyAlignment="0" applyProtection="0"/>
    <xf numFmtId="0" fontId="34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34" fillId="30" borderId="0" applyNumberFormat="0" applyBorder="0" applyAlignment="0" applyProtection="0"/>
    <xf numFmtId="0" fontId="3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34" fillId="34" borderId="0" applyNumberFormat="0" applyBorder="0" applyAlignment="0" applyProtection="0"/>
    <xf numFmtId="0" fontId="1" fillId="0" borderId="0">
      <alignment vertical="center"/>
    </xf>
    <xf numFmtId="0" fontId="1" fillId="0" borderId="0"/>
    <xf numFmtId="0" fontId="35" fillId="0" borderId="0" applyNumberFormat="0" applyFill="0" applyBorder="0" applyAlignment="0" applyProtection="0"/>
    <xf numFmtId="0" fontId="37" fillId="0" borderId="0"/>
    <xf numFmtId="38" fontId="37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0" fontId="2" fillId="0" borderId="0"/>
    <xf numFmtId="44" fontId="2" fillId="0" borderId="0" applyFont="0" applyFill="0" applyBorder="0" applyAlignment="0" applyProtection="0"/>
  </cellStyleXfs>
  <cellXfs count="84">
    <xf numFmtId="0" fontId="0" fillId="0" borderId="0" xfId="0"/>
    <xf numFmtId="0" fontId="36" fillId="2" borderId="1" xfId="0" applyFont="1" applyFill="1" applyBorder="1" applyAlignment="1">
      <alignment vertical="center"/>
    </xf>
    <xf numFmtId="0" fontId="0" fillId="3" borderId="0" xfId="0" applyFill="1" applyAlignment="1">
      <alignment vertical="center"/>
    </xf>
    <xf numFmtId="0" fontId="33" fillId="35" borderId="1" xfId="0" applyFont="1" applyFill="1" applyBorder="1" applyAlignment="1">
      <alignment horizontal="center" vertical="center" wrapText="1"/>
    </xf>
    <xf numFmtId="0" fontId="36" fillId="2" borderId="11" xfId="0" applyFont="1" applyFill="1" applyBorder="1" applyAlignment="1">
      <alignment vertical="center"/>
    </xf>
    <xf numFmtId="0" fontId="36" fillId="2" borderId="11" xfId="0" applyFont="1" applyFill="1" applyBorder="1" applyAlignment="1">
      <alignment horizontal="center" vertical="center"/>
    </xf>
    <xf numFmtId="0" fontId="38" fillId="37" borderId="15" xfId="0" applyFont="1" applyFill="1" applyBorder="1" applyAlignment="1">
      <alignment vertical="center"/>
    </xf>
    <xf numFmtId="0" fontId="38" fillId="37" borderId="16" xfId="0" applyFont="1" applyFill="1" applyBorder="1" applyAlignment="1">
      <alignment vertical="center"/>
    </xf>
    <xf numFmtId="0" fontId="38" fillId="0" borderId="19" xfId="0" applyFont="1" applyBorder="1" applyAlignment="1">
      <alignment vertical="center"/>
    </xf>
    <xf numFmtId="0" fontId="38" fillId="0" borderId="14" xfId="0" applyFont="1" applyBorder="1" applyAlignment="1">
      <alignment vertical="center"/>
    </xf>
    <xf numFmtId="0" fontId="38" fillId="0" borderId="14" xfId="0" applyFont="1" applyBorder="1" applyAlignment="1">
      <alignment horizontal="right" vertical="center"/>
    </xf>
    <xf numFmtId="3" fontId="38" fillId="0" borderId="14" xfId="0" applyNumberFormat="1" applyFont="1" applyBorder="1" applyAlignment="1">
      <alignment horizontal="right" vertical="center"/>
    </xf>
    <xf numFmtId="0" fontId="39" fillId="0" borderId="14" xfId="0" applyFont="1" applyBorder="1" applyAlignment="1">
      <alignment horizontal="right" vertical="center"/>
    </xf>
    <xf numFmtId="0" fontId="40" fillId="36" borderId="12" xfId="0" applyFont="1" applyFill="1" applyBorder="1" applyAlignment="1">
      <alignment horizontal="center" vertical="center" readingOrder="1"/>
    </xf>
    <xf numFmtId="0" fontId="40" fillId="36" borderId="18" xfId="0" applyFont="1" applyFill="1" applyBorder="1" applyAlignment="1">
      <alignment horizontal="center" vertical="center" readingOrder="1"/>
    </xf>
    <xf numFmtId="0" fontId="40" fillId="2" borderId="13" xfId="0" applyFont="1" applyFill="1" applyBorder="1" applyAlignment="1">
      <alignment horizontal="center" vertical="center"/>
    </xf>
    <xf numFmtId="0" fontId="40" fillId="2" borderId="17" xfId="0" applyFont="1" applyFill="1" applyBorder="1" applyAlignment="1">
      <alignment horizontal="center" vertical="center"/>
    </xf>
    <xf numFmtId="0" fontId="40" fillId="36" borderId="18" xfId="0" applyFont="1" applyFill="1" applyBorder="1" applyAlignment="1">
      <alignment horizontal="center" vertical="center"/>
    </xf>
    <xf numFmtId="0" fontId="40" fillId="36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41" fillId="0" borderId="0" xfId="0" applyFont="1" applyAlignment="1">
      <alignment horizontal="left" vertical="center" wrapText="1"/>
    </xf>
    <xf numFmtId="0" fontId="42" fillId="36" borderId="0" xfId="0" applyFont="1" applyFill="1" applyAlignment="1">
      <alignment horizontal="left" vertical="center" wrapText="1" indent="1"/>
    </xf>
    <xf numFmtId="0" fontId="0" fillId="0" borderId="0" xfId="0" quotePrefix="1"/>
    <xf numFmtId="0" fontId="40" fillId="2" borderId="13" xfId="0" applyFont="1" applyFill="1" applyBorder="1" applyAlignment="1">
      <alignment horizontal="left" vertical="center" readingOrder="1"/>
    </xf>
    <xf numFmtId="0" fontId="40" fillId="2" borderId="17" xfId="0" applyFont="1" applyFill="1" applyBorder="1" applyAlignment="1">
      <alignment horizontal="left" vertical="center" readingOrder="1"/>
    </xf>
    <xf numFmtId="0" fontId="40" fillId="0" borderId="12" xfId="0" applyFont="1" applyBorder="1" applyAlignment="1">
      <alignment horizontal="center" vertical="center" readingOrder="1"/>
    </xf>
    <xf numFmtId="0" fontId="44" fillId="37" borderId="13" xfId="0" applyFont="1" applyFill="1" applyBorder="1" applyAlignment="1">
      <alignment horizontal="center" vertical="center"/>
    </xf>
    <xf numFmtId="0" fontId="44" fillId="37" borderId="17" xfId="0" applyFont="1" applyFill="1" applyBorder="1" applyAlignment="1">
      <alignment horizontal="center" vertical="center"/>
    </xf>
    <xf numFmtId="0" fontId="44" fillId="0" borderId="18" xfId="0" applyFont="1" applyBorder="1" applyAlignment="1">
      <alignment horizontal="center" vertical="center"/>
    </xf>
    <xf numFmtId="0" fontId="44" fillId="0" borderId="12" xfId="0" applyFont="1" applyBorder="1" applyAlignment="1">
      <alignment horizontal="center" vertical="center"/>
    </xf>
    <xf numFmtId="4" fontId="44" fillId="0" borderId="12" xfId="0" applyNumberFormat="1" applyFont="1" applyBorder="1" applyAlignment="1">
      <alignment horizontal="center" vertical="center"/>
    </xf>
    <xf numFmtId="14" fontId="44" fillId="0" borderId="12" xfId="0" applyNumberFormat="1" applyFont="1" applyBorder="1" applyAlignment="1">
      <alignment horizontal="center" vertical="center"/>
    </xf>
    <xf numFmtId="0" fontId="44" fillId="2" borderId="18" xfId="0" applyFont="1" applyFill="1" applyBorder="1" applyAlignment="1">
      <alignment horizontal="center" vertical="center"/>
    </xf>
    <xf numFmtId="0" fontId="44" fillId="2" borderId="12" xfId="0" applyFont="1" applyFill="1" applyBorder="1" applyAlignment="1">
      <alignment horizontal="center" vertical="center"/>
    </xf>
    <xf numFmtId="4" fontId="44" fillId="2" borderId="12" xfId="0" applyNumberFormat="1" applyFont="1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6" fillId="0" borderId="0" xfId="0" applyFont="1"/>
    <xf numFmtId="164" fontId="33" fillId="35" borderId="1" xfId="0" applyNumberFormat="1" applyFont="1" applyFill="1" applyBorder="1" applyAlignment="1">
      <alignment horizontal="center" vertical="center" wrapText="1"/>
    </xf>
    <xf numFmtId="0" fontId="43" fillId="36" borderId="12" xfId="0" applyFont="1" applyFill="1" applyBorder="1" applyAlignment="1">
      <alignment vertical="center"/>
    </xf>
    <xf numFmtId="0" fontId="43" fillId="2" borderId="12" xfId="0" applyFont="1" applyFill="1" applyBorder="1" applyAlignment="1">
      <alignment vertical="center"/>
    </xf>
    <xf numFmtId="0" fontId="0" fillId="2" borderId="0" xfId="0" applyFill="1"/>
    <xf numFmtId="0" fontId="43" fillId="2" borderId="17" xfId="0" applyFont="1" applyFill="1" applyBorder="1" applyAlignment="1">
      <alignment vertical="center"/>
    </xf>
    <xf numFmtId="0" fontId="44" fillId="38" borderId="13" xfId="0" applyFont="1" applyFill="1" applyBorder="1" applyAlignment="1">
      <alignment vertical="center"/>
    </xf>
    <xf numFmtId="0" fontId="44" fillId="38" borderId="20" xfId="0" applyFont="1" applyFill="1" applyBorder="1" applyAlignment="1">
      <alignment vertical="center"/>
    </xf>
    <xf numFmtId="0" fontId="44" fillId="38" borderId="17" xfId="0" applyFont="1" applyFill="1" applyBorder="1" applyAlignment="1">
      <alignment vertical="center"/>
    </xf>
    <xf numFmtId="0" fontId="44" fillId="36" borderId="21" xfId="0" applyFont="1" applyFill="1" applyBorder="1" applyAlignment="1">
      <alignment vertical="center"/>
    </xf>
    <xf numFmtId="0" fontId="44" fillId="36" borderId="22" xfId="0" applyFont="1" applyFill="1" applyBorder="1" applyAlignment="1">
      <alignment horizontal="left" vertical="center"/>
    </xf>
    <xf numFmtId="0" fontId="44" fillId="36" borderId="20" xfId="0" applyFont="1" applyFill="1" applyBorder="1" applyAlignment="1">
      <alignment horizontal="left" vertical="center"/>
    </xf>
    <xf numFmtId="0" fontId="44" fillId="36" borderId="12" xfId="0" applyFont="1" applyFill="1" applyBorder="1" applyAlignment="1">
      <alignment vertical="center"/>
    </xf>
    <xf numFmtId="0" fontId="44" fillId="36" borderId="12" xfId="0" applyFont="1" applyFill="1" applyBorder="1" applyAlignment="1">
      <alignment horizontal="right" vertical="center"/>
    </xf>
    <xf numFmtId="4" fontId="44" fillId="36" borderId="12" xfId="0" applyNumberFormat="1" applyFont="1" applyFill="1" applyBorder="1" applyAlignment="1">
      <alignment horizontal="right" vertical="center"/>
    </xf>
    <xf numFmtId="14" fontId="44" fillId="36" borderId="12" xfId="0" applyNumberFormat="1" applyFont="1" applyFill="1" applyBorder="1" applyAlignment="1">
      <alignment horizontal="right" vertical="center"/>
    </xf>
    <xf numFmtId="0" fontId="44" fillId="36" borderId="23" xfId="0" applyFont="1" applyFill="1" applyBorder="1" applyAlignment="1">
      <alignment vertical="center"/>
    </xf>
    <xf numFmtId="0" fontId="44" fillId="36" borderId="13" xfId="0" applyFont="1" applyFill="1" applyBorder="1" applyAlignment="1">
      <alignment horizontal="left" vertical="center"/>
    </xf>
    <xf numFmtId="0" fontId="44" fillId="36" borderId="17" xfId="0" applyFont="1" applyFill="1" applyBorder="1" applyAlignment="1">
      <alignment horizontal="left" vertical="center"/>
    </xf>
    <xf numFmtId="0" fontId="44" fillId="36" borderId="24" xfId="0" applyFont="1" applyFill="1" applyBorder="1" applyAlignment="1">
      <alignment vertical="center"/>
    </xf>
    <xf numFmtId="0" fontId="44" fillId="36" borderId="24" xfId="0" applyFont="1" applyFill="1" applyBorder="1" applyAlignment="1">
      <alignment horizontal="right" vertical="center"/>
    </xf>
    <xf numFmtId="4" fontId="44" fillId="36" borderId="24" xfId="0" applyNumberFormat="1" applyFont="1" applyFill="1" applyBorder="1" applyAlignment="1">
      <alignment horizontal="right" vertical="center"/>
    </xf>
    <xf numFmtId="14" fontId="44" fillId="36" borderId="24" xfId="0" applyNumberFormat="1" applyFont="1" applyFill="1" applyBorder="1" applyAlignment="1">
      <alignment horizontal="right" vertical="center"/>
    </xf>
    <xf numFmtId="0" fontId="44" fillId="0" borderId="0" xfId="0" applyFont="1"/>
    <xf numFmtId="0" fontId="45" fillId="2" borderId="25" xfId="0" applyFont="1" applyFill="1" applyBorder="1" applyAlignment="1">
      <alignment vertical="center"/>
    </xf>
    <xf numFmtId="0" fontId="45" fillId="2" borderId="26" xfId="0" applyFont="1" applyFill="1" applyBorder="1" applyAlignment="1">
      <alignment vertical="center"/>
    </xf>
    <xf numFmtId="0" fontId="45" fillId="2" borderId="27" xfId="0" applyFont="1" applyFill="1" applyBorder="1" applyAlignment="1">
      <alignment vertical="center"/>
    </xf>
    <xf numFmtId="4" fontId="45" fillId="2" borderId="27" xfId="0" applyNumberFormat="1" applyFont="1" applyFill="1" applyBorder="1" applyAlignment="1">
      <alignment horizontal="right" vertical="center"/>
    </xf>
    <xf numFmtId="0" fontId="47" fillId="0" borderId="0" xfId="0" applyFont="1" applyAlignment="1">
      <alignment vertical="center" wrapText="1"/>
    </xf>
    <xf numFmtId="0" fontId="48" fillId="2" borderId="13" xfId="0" applyFont="1" applyFill="1" applyBorder="1" applyAlignment="1">
      <alignment horizontal="left" vertical="center"/>
    </xf>
    <xf numFmtId="0" fontId="48" fillId="2" borderId="20" xfId="0" applyFont="1" applyFill="1" applyBorder="1" applyAlignment="1">
      <alignment horizontal="left" vertical="center"/>
    </xf>
    <xf numFmtId="0" fontId="48" fillId="2" borderId="17" xfId="0" applyFont="1" applyFill="1" applyBorder="1" applyAlignment="1">
      <alignment horizontal="left" vertical="center"/>
    </xf>
    <xf numFmtId="0" fontId="48" fillId="36" borderId="23" xfId="0" applyFont="1" applyFill="1" applyBorder="1" applyAlignment="1">
      <alignment horizontal="left" vertical="center"/>
    </xf>
    <xf numFmtId="0" fontId="48" fillId="36" borderId="13" xfId="0" applyFont="1" applyFill="1" applyBorder="1" applyAlignment="1">
      <alignment horizontal="left" vertical="center"/>
    </xf>
    <xf numFmtId="0" fontId="48" fillId="36" borderId="24" xfId="0" applyFont="1" applyFill="1" applyBorder="1" applyAlignment="1">
      <alignment horizontal="left" vertical="center"/>
    </xf>
    <xf numFmtId="0" fontId="48" fillId="36" borderId="24" xfId="0" applyFont="1" applyFill="1" applyBorder="1" applyAlignment="1">
      <alignment horizontal="right" vertical="center"/>
    </xf>
    <xf numFmtId="4" fontId="48" fillId="36" borderId="24" xfId="0" applyNumberFormat="1" applyFont="1" applyFill="1" applyBorder="1" applyAlignment="1">
      <alignment horizontal="right" vertical="center"/>
    </xf>
    <xf numFmtId="14" fontId="48" fillId="36" borderId="24" xfId="0" applyNumberFormat="1" applyFont="1" applyFill="1" applyBorder="1" applyAlignment="1">
      <alignment horizontal="right" vertical="center"/>
    </xf>
    <xf numFmtId="0" fontId="49" fillId="2" borderId="25" xfId="0" applyFont="1" applyFill="1" applyBorder="1" applyAlignment="1">
      <alignment horizontal="left" vertical="center"/>
    </xf>
    <xf numFmtId="0" fontId="49" fillId="2" borderId="26" xfId="0" applyFont="1" applyFill="1" applyBorder="1" applyAlignment="1">
      <alignment horizontal="left" vertical="center"/>
    </xf>
    <xf numFmtId="0" fontId="49" fillId="2" borderId="27" xfId="0" applyFont="1" applyFill="1" applyBorder="1" applyAlignment="1">
      <alignment horizontal="left" vertical="center"/>
    </xf>
    <xf numFmtId="0" fontId="49" fillId="2" borderId="27" xfId="0" applyFont="1" applyFill="1" applyBorder="1" applyAlignment="1">
      <alignment horizontal="right" vertical="center"/>
    </xf>
    <xf numFmtId="4" fontId="49" fillId="2" borderId="27" xfId="0" applyNumberFormat="1" applyFont="1" applyFill="1" applyBorder="1" applyAlignment="1">
      <alignment horizontal="right" vertical="center"/>
    </xf>
    <xf numFmtId="0" fontId="33" fillId="2" borderId="1" xfId="0" applyFont="1" applyFill="1" applyBorder="1" applyAlignment="1">
      <alignment horizontal="center" vertical="center"/>
    </xf>
    <xf numFmtId="1" fontId="36" fillId="2" borderId="1" xfId="0" applyNumberFormat="1" applyFont="1" applyFill="1" applyBorder="1" applyAlignment="1">
      <alignment vertical="center"/>
    </xf>
    <xf numFmtId="1" fontId="33" fillId="35" borderId="1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165" fontId="0" fillId="0" borderId="0" xfId="0" applyNumberFormat="1"/>
  </cellXfs>
  <cellStyles count="97">
    <cellStyle name="20% - Accent1" xfId="65" builtinId="30" customBuiltin="1"/>
    <cellStyle name="20% - Accent1 2" xfId="6" xr:uid="{00000000-0005-0000-0000-000001000000}"/>
    <cellStyle name="20% - Accent2" xfId="69" builtinId="34" customBuiltin="1"/>
    <cellStyle name="20% - Accent2 2" xfId="7" xr:uid="{00000000-0005-0000-0000-000003000000}"/>
    <cellStyle name="20% - Accent3" xfId="73" builtinId="38" customBuiltin="1"/>
    <cellStyle name="20% - Accent3 2" xfId="8" xr:uid="{00000000-0005-0000-0000-000005000000}"/>
    <cellStyle name="20% - Accent4" xfId="77" builtinId="42" customBuiltin="1"/>
    <cellStyle name="20% - Accent4 2" xfId="9" xr:uid="{00000000-0005-0000-0000-000007000000}"/>
    <cellStyle name="20% - Accent5" xfId="81" builtinId="46" customBuiltin="1"/>
    <cellStyle name="20% - Accent5 2" xfId="10" xr:uid="{00000000-0005-0000-0000-000009000000}"/>
    <cellStyle name="20% - Accent6" xfId="85" builtinId="50" customBuiltin="1"/>
    <cellStyle name="20% - Accent6 2" xfId="11" xr:uid="{00000000-0005-0000-0000-00000B000000}"/>
    <cellStyle name="40% - Accent1" xfId="66" builtinId="31" customBuiltin="1"/>
    <cellStyle name="40% - Accent1 2" xfId="12" xr:uid="{00000000-0005-0000-0000-00000D000000}"/>
    <cellStyle name="40% - Accent2" xfId="70" builtinId="35" customBuiltin="1"/>
    <cellStyle name="40% - Accent2 2" xfId="13" xr:uid="{00000000-0005-0000-0000-00000F000000}"/>
    <cellStyle name="40% - Accent3" xfId="74" builtinId="39" customBuiltin="1"/>
    <cellStyle name="40% - Accent3 2" xfId="14" xr:uid="{00000000-0005-0000-0000-000011000000}"/>
    <cellStyle name="40% - Accent4" xfId="78" builtinId="43" customBuiltin="1"/>
    <cellStyle name="40% - Accent4 2" xfId="15" xr:uid="{00000000-0005-0000-0000-000013000000}"/>
    <cellStyle name="40% - Accent5" xfId="82" builtinId="47" customBuiltin="1"/>
    <cellStyle name="40% - Accent5 2" xfId="16" xr:uid="{00000000-0005-0000-0000-000015000000}"/>
    <cellStyle name="40% - Accent6" xfId="86" builtinId="51" customBuiltin="1"/>
    <cellStyle name="40% - Accent6 2" xfId="17" xr:uid="{00000000-0005-0000-0000-000017000000}"/>
    <cellStyle name="60% - Accent1" xfId="67" builtinId="32" customBuiltin="1"/>
    <cellStyle name="60% - Accent1 2" xfId="18" xr:uid="{00000000-0005-0000-0000-000019000000}"/>
    <cellStyle name="60% - Accent2" xfId="71" builtinId="36" customBuiltin="1"/>
    <cellStyle name="60% - Accent2 2" xfId="19" xr:uid="{00000000-0005-0000-0000-00001B000000}"/>
    <cellStyle name="60% - Accent3" xfId="75" builtinId="40" customBuiltin="1"/>
    <cellStyle name="60% - Accent3 2" xfId="20" xr:uid="{00000000-0005-0000-0000-00001D000000}"/>
    <cellStyle name="60% - Accent4" xfId="79" builtinId="44" customBuiltin="1"/>
    <cellStyle name="60% - Accent4 2" xfId="21" xr:uid="{00000000-0005-0000-0000-00001F000000}"/>
    <cellStyle name="60% - Accent5" xfId="83" builtinId="48" customBuiltin="1"/>
    <cellStyle name="60% - Accent5 2" xfId="22" xr:uid="{00000000-0005-0000-0000-000021000000}"/>
    <cellStyle name="60% - Accent6" xfId="87" builtinId="52" customBuiltin="1"/>
    <cellStyle name="60% - Accent6 2" xfId="23" xr:uid="{00000000-0005-0000-0000-000023000000}"/>
    <cellStyle name="Accent1" xfId="64" builtinId="29" customBuiltin="1"/>
    <cellStyle name="Accent1 2" xfId="24" xr:uid="{00000000-0005-0000-0000-000025000000}"/>
    <cellStyle name="Accent2" xfId="68" builtinId="33" customBuiltin="1"/>
    <cellStyle name="Accent2 2" xfId="25" xr:uid="{00000000-0005-0000-0000-000027000000}"/>
    <cellStyle name="Accent3" xfId="72" builtinId="37" customBuiltin="1"/>
    <cellStyle name="Accent3 2" xfId="26" xr:uid="{00000000-0005-0000-0000-000029000000}"/>
    <cellStyle name="Accent4" xfId="76" builtinId="41" customBuiltin="1"/>
    <cellStyle name="Accent4 2" xfId="27" xr:uid="{00000000-0005-0000-0000-00002B000000}"/>
    <cellStyle name="Accent5" xfId="80" builtinId="45" customBuiltin="1"/>
    <cellStyle name="Accent5 2" xfId="28" xr:uid="{00000000-0005-0000-0000-00002D000000}"/>
    <cellStyle name="Accent6" xfId="84" builtinId="49" customBuiltin="1"/>
    <cellStyle name="Accent6 2" xfId="29" xr:uid="{00000000-0005-0000-0000-00002F000000}"/>
    <cellStyle name="Bad" xfId="53" builtinId="27" customBuiltin="1"/>
    <cellStyle name="Bad 2" xfId="30" xr:uid="{00000000-0005-0000-0000-000031000000}"/>
    <cellStyle name="Calculation" xfId="57" builtinId="22" customBuiltin="1"/>
    <cellStyle name="Calculation 2" xfId="31" xr:uid="{00000000-0005-0000-0000-000033000000}"/>
    <cellStyle name="Check Cell" xfId="59" builtinId="23" customBuiltin="1"/>
    <cellStyle name="Check Cell 2" xfId="32" xr:uid="{00000000-0005-0000-0000-000035000000}"/>
    <cellStyle name="Comma 2" xfId="93" xr:uid="{00000000-0005-0000-0000-000036000000}"/>
    <cellStyle name="Currency 2" xfId="96" xr:uid="{00000000-0005-0000-0000-000037000000}"/>
    <cellStyle name="Explanatory Text" xfId="62" builtinId="53" customBuiltin="1"/>
    <cellStyle name="Explanatory Text 2" xfId="33" xr:uid="{00000000-0005-0000-0000-000039000000}"/>
    <cellStyle name="Good" xfId="52" builtinId="26" customBuiltin="1"/>
    <cellStyle name="Good 2" xfId="34" xr:uid="{00000000-0005-0000-0000-00003B000000}"/>
    <cellStyle name="Heading 1" xfId="48" builtinId="16" customBuiltin="1"/>
    <cellStyle name="Heading 1 2" xfId="35" xr:uid="{00000000-0005-0000-0000-00003D000000}"/>
    <cellStyle name="Heading 2" xfId="49" builtinId="17" customBuiltin="1"/>
    <cellStyle name="Heading 2 2" xfId="36" xr:uid="{00000000-0005-0000-0000-00003F000000}"/>
    <cellStyle name="Heading 3" xfId="50" builtinId="18" customBuiltin="1"/>
    <cellStyle name="Heading 3 2" xfId="37" xr:uid="{00000000-0005-0000-0000-000041000000}"/>
    <cellStyle name="Heading 4" xfId="51" builtinId="19" customBuiltin="1"/>
    <cellStyle name="Heading 4 2" xfId="38" xr:uid="{00000000-0005-0000-0000-000043000000}"/>
    <cellStyle name="Input" xfId="55" builtinId="20" customBuiltin="1"/>
    <cellStyle name="Input 2" xfId="39" xr:uid="{00000000-0005-0000-0000-000045000000}"/>
    <cellStyle name="Linked Cell" xfId="58" builtinId="24" customBuiltin="1"/>
    <cellStyle name="Linked Cell 2" xfId="40" xr:uid="{00000000-0005-0000-0000-000047000000}"/>
    <cellStyle name="Neutral" xfId="54" builtinId="28" customBuiltin="1"/>
    <cellStyle name="Neutral 2" xfId="41" xr:uid="{00000000-0005-0000-0000-000049000000}"/>
    <cellStyle name="Normal" xfId="0" builtinId="0"/>
    <cellStyle name="Normal 2" xfId="1" xr:uid="{00000000-0005-0000-0000-00004B000000}"/>
    <cellStyle name="Normal 2 2" xfId="88" xr:uid="{00000000-0005-0000-0000-00004C000000}"/>
    <cellStyle name="Normal 2 2 2" xfId="94" xr:uid="{00000000-0005-0000-0000-00004D000000}"/>
    <cellStyle name="Normal 3" xfId="2" xr:uid="{00000000-0005-0000-0000-00004E000000}"/>
    <cellStyle name="Normal 4" xfId="95" xr:uid="{00000000-0005-0000-0000-00004F000000}"/>
    <cellStyle name="Normal 6" xfId="4" xr:uid="{00000000-0005-0000-0000-000050000000}"/>
    <cellStyle name="Normal 64" xfId="3" xr:uid="{00000000-0005-0000-0000-000051000000}"/>
    <cellStyle name="Normal 76" xfId="5" xr:uid="{00000000-0005-0000-0000-000052000000}"/>
    <cellStyle name="Normal 8" xfId="89" xr:uid="{00000000-0005-0000-0000-000053000000}"/>
    <cellStyle name="Note" xfId="61" builtinId="10" customBuiltin="1"/>
    <cellStyle name="Note 2" xfId="42" xr:uid="{00000000-0005-0000-0000-000055000000}"/>
    <cellStyle name="Output" xfId="56" builtinId="21" customBuiltin="1"/>
    <cellStyle name="Output 2" xfId="43" xr:uid="{00000000-0005-0000-0000-000057000000}"/>
    <cellStyle name="Title" xfId="47" builtinId="15" customBuiltin="1"/>
    <cellStyle name="Title 2" xfId="44" xr:uid="{00000000-0005-0000-0000-000059000000}"/>
    <cellStyle name="Title 3" xfId="90" xr:uid="{00000000-0005-0000-0000-00005A000000}"/>
    <cellStyle name="Total" xfId="63" builtinId="25" customBuiltin="1"/>
    <cellStyle name="Total 2" xfId="45" xr:uid="{00000000-0005-0000-0000-00005C000000}"/>
    <cellStyle name="Warning Text" xfId="60" builtinId="11" customBuiltin="1"/>
    <cellStyle name="Warning Text 2" xfId="46" xr:uid="{00000000-0005-0000-0000-00005E000000}"/>
    <cellStyle name="桁区切り 2" xfId="92" xr:uid="{00000000-0005-0000-0000-00005F000000}"/>
    <cellStyle name="標準 2" xfId="91" xr:uid="{00000000-0005-0000-0000-000060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0</xdr:rowOff>
    </xdr:from>
    <xdr:to>
      <xdr:col>19</xdr:col>
      <xdr:colOff>304800</xdr:colOff>
      <xdr:row>3</xdr:row>
      <xdr:rowOff>112534</xdr:rowOff>
    </xdr:to>
    <xdr:sp macro="" textlink="">
      <xdr:nvSpPr>
        <xdr:cNvPr id="2" name="AutoShape 1" descr=".xlsx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324350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19</xdr:col>
      <xdr:colOff>0</xdr:colOff>
      <xdr:row>2</xdr:row>
      <xdr:rowOff>0</xdr:rowOff>
    </xdr:from>
    <xdr:ext cx="304800" cy="307776"/>
    <xdr:sp macro="" textlink="">
      <xdr:nvSpPr>
        <xdr:cNvPr id="3" name="AutoShape 1" descr=".xlsx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30018633" y="186280723"/>
          <a:ext cx="304800" cy="3077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John%20Lewis\Buying\Home\Textiles%20&amp;%20Carpets\Bed%20Linens\Department%20Data\Bed%20Linens\Excel\MERCHANDISING\_SS19\SS19%20606%20DVC%20Line%20Buy%20-%20Rosie%20with%20ca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R Roll Up"/>
      <sheetName val="Buy Plan"/>
      <sheetName val="SS18 GRADING"/>
      <sheetName val="Data (other)"/>
      <sheetName val="Data (boxi)"/>
      <sheetName val="AW16 Cols to Add &amp; notes "/>
      <sheetName val="AW Sales"/>
      <sheetName val="Sheet1"/>
      <sheetName val="Report 1 Dump"/>
      <sheetName val="Report 1 Dump SKU"/>
      <sheetName val="Report 2 Dump"/>
      <sheetName val="Stats"/>
      <sheetName val="Option Count"/>
      <sheetName val="Chart1"/>
      <sheetName val="Summary Style IDS"/>
      <sheetName val="Rejects"/>
    </sheetNames>
    <sheetDataSet>
      <sheetData sheetId="0"/>
      <sheetData sheetId="1"/>
      <sheetData sheetId="2"/>
      <sheetData sheetId="3">
        <row r="1">
          <cell r="AG1" t="str">
            <v>% Mix</v>
          </cell>
        </row>
        <row r="3">
          <cell r="M3" t="str">
            <v>New</v>
          </cell>
        </row>
        <row r="4">
          <cell r="M4" t="str">
            <v>Cont</v>
          </cell>
        </row>
        <row r="5">
          <cell r="M5" t="str">
            <v>Disc</v>
          </cell>
        </row>
        <row r="6">
          <cell r="M6" t="str">
            <v>Reject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C2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7" sqref="I7"/>
    </sheetView>
  </sheetViews>
  <sheetFormatPr defaultColWidth="8.6640625" defaultRowHeight="14.4"/>
  <cols>
    <col min="1" max="1" width="31.33203125" bestFit="1" customWidth="1"/>
    <col min="2" max="2" width="15.33203125" bestFit="1" customWidth="1"/>
    <col min="3" max="3" width="14.6640625" bestFit="1" customWidth="1"/>
    <col min="4" max="4" width="25.44140625" bestFit="1" customWidth="1"/>
    <col min="5" max="5" width="16.5546875" bestFit="1" customWidth="1"/>
    <col min="6" max="6" width="7" bestFit="1" customWidth="1"/>
    <col min="7" max="7" width="15.33203125" bestFit="1" customWidth="1"/>
    <col min="8" max="8" width="12.33203125" bestFit="1" customWidth="1"/>
    <col min="9" max="9" width="11" bestFit="1" customWidth="1"/>
    <col min="10" max="11" width="14.33203125" bestFit="1" customWidth="1"/>
    <col min="12" max="12" width="15.6640625" bestFit="1" customWidth="1"/>
    <col min="13" max="13" width="16" style="83" bestFit="1" customWidth="1"/>
    <col min="14" max="14" width="17.5546875" style="83" bestFit="1" customWidth="1"/>
    <col min="15" max="15" width="18.5546875" bestFit="1" customWidth="1"/>
    <col min="16" max="16" width="13.109375" bestFit="1" customWidth="1"/>
    <col min="17" max="17" width="15.109375" bestFit="1" customWidth="1"/>
    <col min="18" max="18" width="17.5546875" bestFit="1" customWidth="1"/>
    <col min="19" max="19" width="28" bestFit="1" customWidth="1"/>
    <col min="20" max="20" width="14.44140625" bestFit="1" customWidth="1"/>
    <col min="21" max="21" width="5.5546875" bestFit="1" customWidth="1"/>
    <col min="22" max="22" width="19" style="82" bestFit="1" customWidth="1"/>
    <col min="23" max="23" width="13" bestFit="1" customWidth="1"/>
    <col min="24" max="25" width="16" bestFit="1" customWidth="1"/>
    <col min="26" max="26" width="8.88671875" bestFit="1" customWidth="1"/>
    <col min="27" max="27" width="16.6640625" bestFit="1" customWidth="1"/>
    <col min="28" max="28" width="57.88671875" customWidth="1"/>
    <col min="29" max="29" width="7.33203125" bestFit="1" customWidth="1"/>
    <col min="30" max="30" width="26.5546875" style="2" customWidth="1"/>
    <col min="31" max="35" width="8.6640625" style="2"/>
    <col min="36" max="36" width="13.6640625" style="2" bestFit="1" customWidth="1"/>
    <col min="37" max="16384" width="8.6640625" style="2"/>
  </cols>
  <sheetData>
    <row r="1" spans="1:29" ht="25.8">
      <c r="A1" s="4" t="s">
        <v>156</v>
      </c>
      <c r="B1" s="5" t="s">
        <v>172</v>
      </c>
      <c r="C1" s="1"/>
      <c r="D1" s="79" t="s">
        <v>188</v>
      </c>
      <c r="E1" s="79" t="s">
        <v>187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 t="s">
        <v>0</v>
      </c>
      <c r="T1" s="1" t="s">
        <v>155</v>
      </c>
      <c r="U1" s="1"/>
      <c r="V1" s="80"/>
      <c r="W1" s="1"/>
      <c r="X1" s="1"/>
      <c r="Y1" s="1"/>
      <c r="Z1" s="1"/>
      <c r="AA1" s="1" t="s">
        <v>186</v>
      </c>
      <c r="AB1" s="1" t="s">
        <v>192</v>
      </c>
      <c r="AC1" s="1"/>
    </row>
    <row r="2" spans="1:29" ht="28.8">
      <c r="A2" s="3" t="s">
        <v>1</v>
      </c>
      <c r="B2" s="3" t="s">
        <v>2</v>
      </c>
      <c r="C2" s="3" t="s">
        <v>3</v>
      </c>
      <c r="D2" s="3" t="s">
        <v>21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185</v>
      </c>
      <c r="J2" s="3" t="s">
        <v>8</v>
      </c>
      <c r="K2" s="3" t="s">
        <v>9</v>
      </c>
      <c r="L2" s="3" t="s">
        <v>10</v>
      </c>
      <c r="M2" s="37" t="s">
        <v>11</v>
      </c>
      <c r="N2" s="37" t="s">
        <v>12</v>
      </c>
      <c r="O2" s="3" t="s">
        <v>13</v>
      </c>
      <c r="P2" s="3" t="s">
        <v>14</v>
      </c>
      <c r="Q2" s="3" t="s">
        <v>15</v>
      </c>
      <c r="R2" s="3" t="s">
        <v>16</v>
      </c>
      <c r="S2" s="3" t="s">
        <v>17</v>
      </c>
      <c r="T2" s="3" t="s">
        <v>18</v>
      </c>
      <c r="U2" s="3" t="s">
        <v>24</v>
      </c>
      <c r="V2" s="81" t="s">
        <v>19</v>
      </c>
      <c r="W2" s="3" t="s">
        <v>20</v>
      </c>
      <c r="X2" s="3" t="s">
        <v>189</v>
      </c>
      <c r="Y2" s="3" t="s">
        <v>23</v>
      </c>
      <c r="Z2" s="3" t="s">
        <v>157</v>
      </c>
      <c r="AA2" s="3" t="s">
        <v>22</v>
      </c>
      <c r="AB2" s="3" t="s">
        <v>190</v>
      </c>
      <c r="AC2" s="3" t="s">
        <v>191</v>
      </c>
    </row>
  </sheetData>
  <conditionalFormatting sqref="S1:S2">
    <cfRule type="cellIs" dxfId="2" priority="59" operator="equal">
      <formula>"FS4592J300P4B03"</formula>
    </cfRule>
    <cfRule type="cellIs" dxfId="1" priority="60" operator="equal">
      <formula>"FS4592J300P4B02"</formula>
    </cfRule>
    <cfRule type="cellIs" dxfId="0" priority="61" operator="equal">
      <formula>"FS4592J300P4B01"</formula>
    </cfRule>
  </conditionalFormatting>
  <dataValidations count="1">
    <dataValidation type="list" allowBlank="1" showInputMessage="1" showErrorMessage="1" sqref="E1 I3:I1048576" xr:uid="{00000000-0002-0000-0000-000000000000}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Q20"/>
  <sheetViews>
    <sheetView topLeftCell="F2" workbookViewId="0">
      <selection activeCell="G3" sqref="G3:G19"/>
    </sheetView>
  </sheetViews>
  <sheetFormatPr defaultRowHeight="14.4"/>
  <cols>
    <col min="1" max="1" width="20.33203125" bestFit="1" customWidth="1"/>
    <col min="2" max="2" width="2" bestFit="1" customWidth="1"/>
    <col min="3" max="3" width="4" bestFit="1" customWidth="1"/>
    <col min="4" max="4" width="19.33203125" bestFit="1" customWidth="1"/>
    <col min="5" max="5" width="13.5546875" bestFit="1" customWidth="1"/>
    <col min="6" max="6" width="33.5546875" bestFit="1" customWidth="1"/>
    <col min="7" max="7" width="12.44140625" bestFit="1" customWidth="1"/>
    <col min="8" max="8" width="17.33203125" bestFit="1" customWidth="1"/>
    <col min="9" max="9" width="23.88671875" bestFit="1" customWidth="1"/>
    <col min="10" max="10" width="12.44140625" bestFit="1" customWidth="1"/>
    <col min="11" max="11" width="10.109375" bestFit="1" customWidth="1"/>
    <col min="12" max="12" width="20.44140625" bestFit="1" customWidth="1"/>
    <col min="13" max="13" width="19.5546875" bestFit="1" customWidth="1"/>
    <col min="14" max="14" width="14.88671875" bestFit="1" customWidth="1"/>
    <col min="15" max="16" width="16.5546875" bestFit="1" customWidth="1"/>
    <col min="17" max="17" width="16" bestFit="1" customWidth="1"/>
    <col min="19" max="19" width="28" bestFit="1" customWidth="1"/>
    <col min="20" max="20" width="13.44140625" bestFit="1" customWidth="1"/>
    <col min="21" max="21" width="8" bestFit="1" customWidth="1"/>
    <col min="22" max="22" width="7.5546875" bestFit="1" customWidth="1"/>
    <col min="23" max="23" width="6" bestFit="1" customWidth="1"/>
    <col min="24" max="24" width="7.5546875" bestFit="1" customWidth="1"/>
    <col min="25" max="26" width="8.5546875" bestFit="1" customWidth="1"/>
    <col min="27" max="27" width="6.109375" bestFit="1" customWidth="1"/>
    <col min="28" max="28" width="11" bestFit="1" customWidth="1"/>
  </cols>
  <sheetData>
    <row r="1" spans="1:17">
      <c r="A1" s="39" t="s">
        <v>158</v>
      </c>
      <c r="B1" s="40">
        <v>5</v>
      </c>
      <c r="C1" s="40">
        <v>500</v>
      </c>
      <c r="D1" s="40">
        <v>2120</v>
      </c>
    </row>
    <row r="2" spans="1:17" ht="15.6">
      <c r="A2" s="39" t="s">
        <v>159</v>
      </c>
      <c r="B2" s="40">
        <v>5</v>
      </c>
      <c r="C2" s="40">
        <v>500</v>
      </c>
      <c r="D2" s="40">
        <v>2120</v>
      </c>
      <c r="F2" s="42" t="s">
        <v>143</v>
      </c>
      <c r="G2" s="43" t="s">
        <v>144</v>
      </c>
      <c r="H2" s="43" t="s">
        <v>173</v>
      </c>
      <c r="I2" s="44" t="s">
        <v>145</v>
      </c>
      <c r="J2" s="44" t="s">
        <v>146</v>
      </c>
      <c r="K2" s="44" t="s">
        <v>147</v>
      </c>
      <c r="L2" s="44" t="s">
        <v>174</v>
      </c>
      <c r="M2" s="44" t="s">
        <v>148</v>
      </c>
      <c r="N2" s="44" t="s">
        <v>149</v>
      </c>
      <c r="O2" s="44" t="s">
        <v>150</v>
      </c>
      <c r="P2" s="44" t="s">
        <v>151</v>
      </c>
    </row>
    <row r="3" spans="1:17" ht="15.6">
      <c r="A3" s="39" t="s">
        <v>160</v>
      </c>
      <c r="B3" s="40">
        <v>5</v>
      </c>
      <c r="C3" s="40">
        <v>500</v>
      </c>
      <c r="D3" s="40">
        <v>2120</v>
      </c>
      <c r="F3" s="45" t="s">
        <v>175</v>
      </c>
      <c r="G3" s="46">
        <v>3151501835</v>
      </c>
      <c r="H3" s="47">
        <v>3151501827</v>
      </c>
      <c r="I3" s="48" t="s">
        <v>176</v>
      </c>
      <c r="J3" s="49">
        <v>320</v>
      </c>
      <c r="K3" s="50">
        <v>1568</v>
      </c>
      <c r="L3" s="48" t="s">
        <v>177</v>
      </c>
      <c r="M3" s="48" t="s">
        <v>154</v>
      </c>
      <c r="N3" s="51">
        <v>45595</v>
      </c>
      <c r="O3" s="51">
        <v>45602</v>
      </c>
      <c r="P3" s="48">
        <v>10000016140</v>
      </c>
    </row>
    <row r="4" spans="1:17" ht="15.6">
      <c r="A4" s="39" t="s">
        <v>161</v>
      </c>
      <c r="B4" s="40">
        <v>5</v>
      </c>
      <c r="C4" s="40">
        <v>500</v>
      </c>
      <c r="D4" s="40">
        <v>2120</v>
      </c>
      <c r="F4" s="45" t="s">
        <v>175</v>
      </c>
      <c r="G4" s="46">
        <v>3151501836</v>
      </c>
      <c r="H4" s="47">
        <v>3151501827</v>
      </c>
      <c r="I4" s="48" t="s">
        <v>176</v>
      </c>
      <c r="J4" s="49">
        <v>720</v>
      </c>
      <c r="K4" s="50">
        <v>3528</v>
      </c>
      <c r="L4" s="48" t="s">
        <v>177</v>
      </c>
      <c r="M4" s="48" t="s">
        <v>152</v>
      </c>
      <c r="N4" s="51">
        <v>45595</v>
      </c>
      <c r="O4" s="51">
        <v>45602</v>
      </c>
      <c r="P4" s="48">
        <v>10000016140</v>
      </c>
    </row>
    <row r="5" spans="1:17" ht="15.6">
      <c r="A5" s="39" t="s">
        <v>162</v>
      </c>
      <c r="B5" s="40">
        <v>5</v>
      </c>
      <c r="C5" s="40">
        <v>500</v>
      </c>
      <c r="D5" s="40">
        <v>2120</v>
      </c>
      <c r="F5" s="45" t="s">
        <v>175</v>
      </c>
      <c r="G5" s="46">
        <v>3151501837</v>
      </c>
      <c r="H5" s="47">
        <v>3151501827</v>
      </c>
      <c r="I5" s="48" t="s">
        <v>176</v>
      </c>
      <c r="J5" s="49">
        <v>200</v>
      </c>
      <c r="K5" s="49">
        <v>980</v>
      </c>
      <c r="L5" s="48" t="s">
        <v>177</v>
      </c>
      <c r="M5" s="48" t="s">
        <v>153</v>
      </c>
      <c r="N5" s="51">
        <v>45595</v>
      </c>
      <c r="O5" s="51">
        <v>45602</v>
      </c>
      <c r="P5" s="48">
        <v>10000016140</v>
      </c>
    </row>
    <row r="6" spans="1:17" ht="15.6">
      <c r="A6" s="39" t="s">
        <v>163</v>
      </c>
      <c r="B6" s="40">
        <v>5</v>
      </c>
      <c r="C6" s="40">
        <v>500</v>
      </c>
      <c r="D6" s="40">
        <v>2120</v>
      </c>
      <c r="F6" s="52" t="s">
        <v>175</v>
      </c>
      <c r="G6" s="53">
        <v>3151501838</v>
      </c>
      <c r="H6" s="54">
        <v>3151501827</v>
      </c>
      <c r="I6" s="55" t="s">
        <v>176</v>
      </c>
      <c r="J6" s="56">
        <v>480</v>
      </c>
      <c r="K6" s="57">
        <v>2352</v>
      </c>
      <c r="L6" s="55" t="s">
        <v>177</v>
      </c>
      <c r="M6" s="55" t="s">
        <v>178</v>
      </c>
      <c r="N6" s="58">
        <v>45595</v>
      </c>
      <c r="O6" s="58">
        <v>45602</v>
      </c>
      <c r="P6" s="55">
        <v>10000016140</v>
      </c>
    </row>
    <row r="7" spans="1:17" ht="15.6" hidden="1">
      <c r="A7" s="41" t="s">
        <v>164</v>
      </c>
      <c r="B7" s="40">
        <v>5</v>
      </c>
      <c r="C7" s="40">
        <v>500</v>
      </c>
      <c r="D7" s="40">
        <v>2120</v>
      </c>
      <c r="F7" s="60"/>
      <c r="G7" s="61"/>
      <c r="H7" s="61"/>
      <c r="I7" s="62"/>
      <c r="J7" s="63"/>
      <c r="K7" s="63">
        <v>8428</v>
      </c>
      <c r="L7" s="62"/>
      <c r="M7" s="62"/>
      <c r="N7" s="62"/>
      <c r="O7" s="62"/>
      <c r="P7" s="62"/>
    </row>
    <row r="8" spans="1:17" ht="15.6" hidden="1">
      <c r="A8" s="39" t="s">
        <v>165</v>
      </c>
      <c r="B8" s="40">
        <v>5</v>
      </c>
      <c r="C8" s="40">
        <v>500</v>
      </c>
      <c r="D8" s="40">
        <v>2120</v>
      </c>
      <c r="F8" s="59"/>
    </row>
    <row r="9" spans="1:17" ht="15.6" hidden="1">
      <c r="A9" s="39" t="s">
        <v>166</v>
      </c>
      <c r="B9" s="40">
        <v>5</v>
      </c>
      <c r="C9" s="40">
        <v>500</v>
      </c>
      <c r="D9" s="40">
        <v>2120</v>
      </c>
      <c r="F9" s="42" t="s">
        <v>143</v>
      </c>
      <c r="G9" s="43" t="s">
        <v>144</v>
      </c>
      <c r="H9" s="43" t="s">
        <v>173</v>
      </c>
      <c r="I9" s="44" t="s">
        <v>145</v>
      </c>
      <c r="J9" s="44" t="s">
        <v>146</v>
      </c>
      <c r="K9" s="44" t="s">
        <v>179</v>
      </c>
      <c r="L9" s="44" t="s">
        <v>147</v>
      </c>
      <c r="M9" s="44" t="s">
        <v>174</v>
      </c>
      <c r="N9" s="44" t="s">
        <v>148</v>
      </c>
      <c r="O9" s="44" t="s">
        <v>149</v>
      </c>
      <c r="P9" s="44" t="s">
        <v>150</v>
      </c>
      <c r="Q9" s="44" t="s">
        <v>151</v>
      </c>
    </row>
    <row r="10" spans="1:17" ht="15.6">
      <c r="A10" s="38" t="s">
        <v>167</v>
      </c>
      <c r="B10">
        <v>5</v>
      </c>
      <c r="C10">
        <v>500</v>
      </c>
      <c r="D10">
        <v>2120</v>
      </c>
      <c r="F10" s="45" t="s">
        <v>175</v>
      </c>
      <c r="G10" s="46">
        <v>3151260764</v>
      </c>
      <c r="H10" s="47">
        <v>3151260292</v>
      </c>
      <c r="I10" s="48" t="s">
        <v>176</v>
      </c>
      <c r="J10" s="49">
        <v>708</v>
      </c>
      <c r="K10" s="49">
        <v>305.56799999999998</v>
      </c>
      <c r="L10" s="50">
        <v>2027.4</v>
      </c>
      <c r="M10" s="48" t="s">
        <v>180</v>
      </c>
      <c r="N10" s="48" t="s">
        <v>154</v>
      </c>
      <c r="O10" s="51">
        <v>45595</v>
      </c>
      <c r="P10" s="51">
        <v>45602</v>
      </c>
      <c r="Q10" s="48">
        <v>10000016140</v>
      </c>
    </row>
    <row r="11" spans="1:17" ht="15.6">
      <c r="A11" s="38" t="s">
        <v>168</v>
      </c>
      <c r="B11">
        <v>5</v>
      </c>
      <c r="C11">
        <v>500</v>
      </c>
      <c r="D11">
        <v>2120</v>
      </c>
      <c r="F11" s="45" t="s">
        <v>175</v>
      </c>
      <c r="G11" s="46">
        <v>3151260765</v>
      </c>
      <c r="H11" s="47">
        <v>3151260292</v>
      </c>
      <c r="I11" s="48" t="s">
        <v>176</v>
      </c>
      <c r="J11" s="50">
        <v>1800</v>
      </c>
      <c r="K11" s="49">
        <v>773.452</v>
      </c>
      <c r="L11" s="50">
        <v>5133.6000000000004</v>
      </c>
      <c r="M11" s="48" t="s">
        <v>180</v>
      </c>
      <c r="N11" s="48" t="s">
        <v>152</v>
      </c>
      <c r="O11" s="51">
        <v>45595</v>
      </c>
      <c r="P11" s="51">
        <v>45602</v>
      </c>
      <c r="Q11" s="48">
        <v>10000016140</v>
      </c>
    </row>
    <row r="12" spans="1:17" ht="15.6">
      <c r="A12" s="38" t="s">
        <v>169</v>
      </c>
      <c r="B12">
        <v>5</v>
      </c>
      <c r="C12">
        <v>500</v>
      </c>
      <c r="D12">
        <v>2120</v>
      </c>
      <c r="F12" s="45" t="s">
        <v>175</v>
      </c>
      <c r="G12" s="46">
        <v>3151260766</v>
      </c>
      <c r="H12" s="47">
        <v>3151260292</v>
      </c>
      <c r="I12" s="48" t="s">
        <v>176</v>
      </c>
      <c r="J12" s="49">
        <v>504</v>
      </c>
      <c r="K12" s="49">
        <v>218.76400000000001</v>
      </c>
      <c r="L12" s="50">
        <v>1450.8</v>
      </c>
      <c r="M12" s="48" t="s">
        <v>180</v>
      </c>
      <c r="N12" s="48" t="s">
        <v>153</v>
      </c>
      <c r="O12" s="51">
        <v>45595</v>
      </c>
      <c r="P12" s="51">
        <v>45602</v>
      </c>
      <c r="Q12" s="48">
        <v>10000016140</v>
      </c>
    </row>
    <row r="13" spans="1:17" ht="15.6">
      <c r="A13" s="38" t="s">
        <v>170</v>
      </c>
      <c r="B13">
        <v>5</v>
      </c>
      <c r="C13">
        <v>500</v>
      </c>
      <c r="D13">
        <v>2120</v>
      </c>
      <c r="F13" s="52" t="s">
        <v>175</v>
      </c>
      <c r="G13" s="53">
        <v>3151260767</v>
      </c>
      <c r="H13" s="54">
        <v>3151260292</v>
      </c>
      <c r="I13" s="55" t="s">
        <v>176</v>
      </c>
      <c r="J13" s="57">
        <v>1260</v>
      </c>
      <c r="K13" s="56">
        <v>546.91200000000003</v>
      </c>
      <c r="L13" s="57">
        <v>3627</v>
      </c>
      <c r="M13" s="48" t="s">
        <v>180</v>
      </c>
      <c r="N13" s="55" t="s">
        <v>178</v>
      </c>
      <c r="O13" s="58">
        <v>45595</v>
      </c>
      <c r="P13" s="58">
        <v>45602</v>
      </c>
      <c r="Q13" s="55">
        <v>10000016140</v>
      </c>
    </row>
    <row r="14" spans="1:17" ht="15.6" hidden="1">
      <c r="A14" s="38" t="s">
        <v>171</v>
      </c>
      <c r="B14">
        <v>5</v>
      </c>
      <c r="C14">
        <v>500</v>
      </c>
      <c r="D14">
        <v>2120</v>
      </c>
      <c r="F14" s="60"/>
      <c r="G14" s="61"/>
      <c r="H14" s="61"/>
      <c r="I14" s="62"/>
      <c r="J14" s="63">
        <f>SUM(J10:J13)</f>
        <v>4272</v>
      </c>
      <c r="K14" s="63">
        <v>1844.7</v>
      </c>
      <c r="L14" s="63">
        <v>12238.8</v>
      </c>
      <c r="M14" s="61"/>
      <c r="N14" s="62"/>
      <c r="O14" s="62"/>
      <c r="P14" s="62"/>
      <c r="Q14" s="62"/>
    </row>
    <row r="15" spans="1:17" hidden="1"/>
    <row r="16" spans="1:17" hidden="1"/>
    <row r="17" spans="6:16" ht="18.600000000000001" hidden="1">
      <c r="F17" s="64" t="s">
        <v>181</v>
      </c>
    </row>
    <row r="18" spans="6:16" hidden="1">
      <c r="F18" s="65" t="s">
        <v>143</v>
      </c>
      <c r="G18" s="66" t="s">
        <v>144</v>
      </c>
      <c r="H18" s="67" t="s">
        <v>145</v>
      </c>
      <c r="I18" s="67" t="s">
        <v>146</v>
      </c>
      <c r="J18" s="67" t="s">
        <v>179</v>
      </c>
      <c r="K18" s="67" t="s">
        <v>147</v>
      </c>
      <c r="L18" s="67" t="s">
        <v>182</v>
      </c>
      <c r="M18" s="67" t="s">
        <v>148</v>
      </c>
      <c r="N18" s="67" t="s">
        <v>149</v>
      </c>
      <c r="O18" s="67" t="s">
        <v>150</v>
      </c>
      <c r="P18" s="67" t="s">
        <v>151</v>
      </c>
    </row>
    <row r="19" spans="6:16">
      <c r="F19" s="68" t="s">
        <v>175</v>
      </c>
      <c r="G19" s="69">
        <v>3151261129</v>
      </c>
      <c r="H19" s="70" t="s">
        <v>176</v>
      </c>
      <c r="I19" s="71">
        <v>900</v>
      </c>
      <c r="J19" s="71">
        <v>423.36</v>
      </c>
      <c r="K19" s="72">
        <v>2790</v>
      </c>
      <c r="L19" s="70" t="s">
        <v>183</v>
      </c>
      <c r="M19" s="70" t="s">
        <v>184</v>
      </c>
      <c r="N19" s="73">
        <v>45595</v>
      </c>
      <c r="O19" s="73">
        <v>45602</v>
      </c>
      <c r="P19" s="70">
        <v>10000016140</v>
      </c>
    </row>
    <row r="20" spans="6:16" hidden="1">
      <c r="F20" s="74"/>
      <c r="G20" s="75"/>
      <c r="H20" s="76"/>
      <c r="I20" s="77">
        <v>900</v>
      </c>
      <c r="J20" s="77">
        <v>423.36</v>
      </c>
      <c r="K20" s="78">
        <v>2790</v>
      </c>
      <c r="L20" s="76"/>
      <c r="M20" s="76"/>
      <c r="N20" s="76"/>
      <c r="O20" s="76"/>
      <c r="P20" s="76"/>
    </row>
  </sheetData>
  <autoFilter ref="F2:P20" xr:uid="{00000000-0009-0000-0000-000001000000}">
    <filterColumn colId="1">
      <filters>
        <filter val="3151260764"/>
        <filter val="3151260765"/>
        <filter val="3151260766"/>
        <filter val="3151260767"/>
        <filter val="3151261129"/>
        <filter val="3151501835"/>
        <filter val="3151501836"/>
        <filter val="3151501837"/>
        <filter val="3151501838"/>
      </filters>
    </filterColumn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37"/>
  <sheetViews>
    <sheetView workbookViewId="0">
      <selection activeCell="H14" sqref="A1:XFD1048576"/>
    </sheetView>
  </sheetViews>
  <sheetFormatPr defaultRowHeight="14.4"/>
  <cols>
    <col min="5" max="5" width="12.44140625" bestFit="1" customWidth="1"/>
    <col min="6" max="6" width="28.44140625" bestFit="1" customWidth="1"/>
  </cols>
  <sheetData>
    <row r="1" spans="1:11" ht="15.6">
      <c r="A1" s="26"/>
      <c r="B1" s="27"/>
      <c r="C1" s="27"/>
      <c r="D1" s="27"/>
      <c r="E1" s="27"/>
      <c r="F1" s="27"/>
      <c r="G1" s="27"/>
      <c r="H1" s="27"/>
      <c r="I1" s="27"/>
      <c r="J1" s="27"/>
    </row>
    <row r="2" spans="1:11" ht="15.6">
      <c r="A2" s="28"/>
      <c r="B2" s="29"/>
      <c r="C2" s="29"/>
      <c r="D2" s="29"/>
      <c r="E2" s="30"/>
      <c r="F2" s="30"/>
      <c r="G2" s="29"/>
      <c r="H2" s="31"/>
      <c r="I2" s="31"/>
      <c r="J2" s="29"/>
    </row>
    <row r="3" spans="1:11" ht="15.6">
      <c r="A3" s="28"/>
      <c r="B3" s="29"/>
      <c r="C3" s="29"/>
      <c r="D3" s="29"/>
      <c r="E3" s="30"/>
      <c r="F3" s="30"/>
      <c r="G3" s="29"/>
      <c r="H3" s="31"/>
      <c r="I3" s="31"/>
      <c r="J3" s="29"/>
    </row>
    <row r="4" spans="1:11" ht="15.6">
      <c r="A4" s="28"/>
      <c r="B4" s="29"/>
      <c r="C4" s="29"/>
      <c r="D4" s="29"/>
      <c r="E4" s="29"/>
      <c r="F4" s="30"/>
      <c r="G4" s="29"/>
      <c r="H4" s="31"/>
      <c r="I4" s="31"/>
      <c r="J4" s="29"/>
    </row>
    <row r="5" spans="1:11" ht="15.6">
      <c r="A5" s="28"/>
      <c r="B5" s="29"/>
      <c r="C5" s="29"/>
      <c r="D5" s="29"/>
      <c r="E5" s="30"/>
      <c r="F5" s="30"/>
      <c r="G5" s="29"/>
      <c r="H5" s="31"/>
      <c r="I5" s="31"/>
      <c r="J5" s="29"/>
    </row>
    <row r="6" spans="1:11" ht="15.6">
      <c r="A6" s="28"/>
      <c r="B6" s="29"/>
      <c r="C6" s="29"/>
      <c r="D6" s="30"/>
      <c r="E6" s="30"/>
      <c r="F6" s="30"/>
      <c r="G6" s="29"/>
      <c r="H6" s="31"/>
      <c r="I6" s="31"/>
      <c r="J6" s="29"/>
    </row>
    <row r="7" spans="1:11" ht="15.6">
      <c r="A7" s="32"/>
      <c r="B7" s="33"/>
      <c r="C7" s="33"/>
      <c r="D7" s="34"/>
      <c r="E7" s="34"/>
      <c r="F7" s="34"/>
      <c r="G7" s="33"/>
      <c r="H7" s="33"/>
      <c r="I7" s="33"/>
      <c r="J7" s="33"/>
    </row>
    <row r="9" spans="1:11" ht="15.6">
      <c r="A9" s="35"/>
    </row>
    <row r="10" spans="1:11" ht="15.6">
      <c r="A10" s="36"/>
    </row>
    <row r="11" spans="1:11" ht="15.6">
      <c r="A11" s="26"/>
      <c r="B11" s="27"/>
      <c r="C11" s="27"/>
      <c r="D11" s="27"/>
      <c r="E11" s="27"/>
      <c r="F11" s="27"/>
      <c r="G11" s="27"/>
      <c r="H11" s="27"/>
      <c r="I11" s="27"/>
      <c r="J11" s="27"/>
    </row>
    <row r="12" spans="1:11" ht="15.6">
      <c r="A12" s="28"/>
      <c r="B12" s="29"/>
      <c r="C12" s="29"/>
      <c r="D12" s="29"/>
      <c r="E12" s="30"/>
      <c r="F12" s="30"/>
      <c r="G12" s="29"/>
      <c r="H12" s="31"/>
      <c r="I12" s="31"/>
      <c r="J12" s="29"/>
      <c r="K12" s="22"/>
    </row>
    <row r="13" spans="1:11" ht="15.6">
      <c r="A13" s="28"/>
      <c r="B13" s="29"/>
      <c r="C13" s="29"/>
      <c r="D13" s="29"/>
      <c r="E13" s="30"/>
      <c r="F13" s="30"/>
      <c r="G13" s="29"/>
      <c r="H13" s="31"/>
      <c r="I13" s="31"/>
      <c r="J13" s="29"/>
    </row>
    <row r="14" spans="1:11" ht="15.6">
      <c r="A14" s="28"/>
      <c r="B14" s="29"/>
      <c r="C14" s="29"/>
      <c r="D14" s="29"/>
      <c r="E14" s="29"/>
      <c r="F14" s="30"/>
      <c r="G14" s="29"/>
      <c r="H14" s="31"/>
      <c r="I14" s="31"/>
      <c r="J14" s="29"/>
    </row>
    <row r="15" spans="1:11" ht="15.6">
      <c r="A15" s="28"/>
      <c r="B15" s="29"/>
      <c r="C15" s="29"/>
      <c r="D15" s="29"/>
      <c r="E15" s="29"/>
      <c r="F15" s="30"/>
      <c r="G15" s="29"/>
      <c r="H15" s="31"/>
      <c r="I15" s="31"/>
      <c r="J15" s="29"/>
    </row>
    <row r="16" spans="1:11" ht="15.6">
      <c r="A16" s="28"/>
      <c r="B16" s="29"/>
      <c r="C16" s="29"/>
      <c r="D16" s="30"/>
      <c r="E16" s="30"/>
      <c r="F16" s="30"/>
      <c r="G16" s="29"/>
      <c r="H16" s="31"/>
      <c r="I16" s="31"/>
      <c r="J16" s="29"/>
    </row>
    <row r="17" spans="1:10" ht="15.6">
      <c r="A17" s="32"/>
      <c r="B17" s="33"/>
      <c r="C17" s="33"/>
      <c r="D17" s="34"/>
      <c r="E17" s="34"/>
      <c r="F17" s="34"/>
      <c r="G17" s="33"/>
      <c r="H17" s="33"/>
      <c r="I17" s="33"/>
      <c r="J17" s="33"/>
    </row>
    <row r="19" spans="1:10" ht="15.6">
      <c r="A19" s="35"/>
    </row>
    <row r="20" spans="1:10" ht="15.6">
      <c r="A20" s="36"/>
    </row>
    <row r="21" spans="1:10" ht="15.6">
      <c r="A21" s="26"/>
      <c r="B21" s="27"/>
      <c r="C21" s="27"/>
      <c r="D21" s="27"/>
      <c r="E21" s="27"/>
      <c r="F21" s="27"/>
      <c r="G21" s="27"/>
      <c r="H21" s="27"/>
      <c r="I21" s="27"/>
      <c r="J21" s="27"/>
    </row>
    <row r="22" spans="1:10" ht="15.6">
      <c r="A22" s="28"/>
      <c r="B22" s="29"/>
      <c r="C22" s="29"/>
      <c r="D22" s="30"/>
      <c r="E22" s="30"/>
      <c r="F22" s="30"/>
      <c r="G22" s="29"/>
      <c r="H22" s="31"/>
      <c r="I22" s="31"/>
      <c r="J22" s="29"/>
    </row>
    <row r="23" spans="1:10" ht="15.6">
      <c r="A23" s="28"/>
      <c r="B23" s="29"/>
      <c r="C23" s="29"/>
      <c r="D23" s="29"/>
      <c r="E23" s="29"/>
      <c r="F23" s="30"/>
      <c r="G23" s="29"/>
      <c r="H23" s="31"/>
      <c r="I23" s="31"/>
      <c r="J23" s="29"/>
    </row>
    <row r="24" spans="1:10" ht="15.6">
      <c r="A24" s="28"/>
      <c r="B24" s="29"/>
      <c r="C24" s="29"/>
      <c r="D24" s="29"/>
      <c r="E24" s="29"/>
      <c r="F24" s="29"/>
      <c r="G24" s="29"/>
      <c r="H24" s="31"/>
      <c r="I24" s="31"/>
      <c r="J24" s="29"/>
    </row>
    <row r="25" spans="1:10" ht="15.6">
      <c r="A25" s="28"/>
      <c r="B25" s="29"/>
      <c r="C25" s="29"/>
      <c r="D25" s="29"/>
      <c r="E25" s="29"/>
      <c r="F25" s="30"/>
      <c r="G25" s="29"/>
      <c r="H25" s="31"/>
      <c r="I25" s="31"/>
      <c r="J25" s="29"/>
    </row>
    <row r="26" spans="1:10" ht="15.6">
      <c r="A26" s="28"/>
      <c r="B26" s="29"/>
      <c r="C26" s="29"/>
      <c r="D26" s="30"/>
      <c r="E26" s="30"/>
      <c r="F26" s="30"/>
      <c r="G26" s="29"/>
      <c r="H26" s="31"/>
      <c r="I26" s="31"/>
      <c r="J26" s="29"/>
    </row>
    <row r="27" spans="1:10" ht="15.6">
      <c r="A27" s="32"/>
      <c r="B27" s="33"/>
      <c r="C27" s="33"/>
      <c r="D27" s="34"/>
      <c r="E27" s="34"/>
      <c r="F27" s="34"/>
      <c r="G27" s="33"/>
      <c r="H27" s="33"/>
      <c r="I27" s="33"/>
      <c r="J27" s="33"/>
    </row>
    <row r="29" spans="1:10" ht="15.6">
      <c r="A29" s="35"/>
    </row>
    <row r="30" spans="1:10" ht="15.6">
      <c r="A30" s="36"/>
    </row>
    <row r="31" spans="1:10" ht="15.6">
      <c r="A31" s="26"/>
      <c r="B31" s="27"/>
      <c r="C31" s="27"/>
      <c r="D31" s="27"/>
      <c r="E31" s="27"/>
      <c r="F31" s="27"/>
      <c r="G31" s="27"/>
      <c r="H31" s="27"/>
      <c r="I31" s="27"/>
      <c r="J31" s="27"/>
    </row>
    <row r="32" spans="1:10" ht="15.6">
      <c r="A32" s="28"/>
      <c r="B32" s="29"/>
      <c r="C32" s="29"/>
      <c r="D32" s="29"/>
      <c r="E32" s="30"/>
      <c r="F32" s="30"/>
      <c r="G32" s="29"/>
      <c r="H32" s="31"/>
      <c r="I32" s="31"/>
      <c r="J32" s="29"/>
    </row>
    <row r="33" spans="1:10" ht="15.6">
      <c r="A33" s="28"/>
      <c r="B33" s="29"/>
      <c r="C33" s="29"/>
      <c r="D33" s="29"/>
      <c r="E33" s="29"/>
      <c r="F33" s="30"/>
      <c r="G33" s="29"/>
      <c r="H33" s="31"/>
      <c r="I33" s="31"/>
      <c r="J33" s="29"/>
    </row>
    <row r="34" spans="1:10" ht="15.6">
      <c r="A34" s="28"/>
      <c r="B34" s="29"/>
      <c r="C34" s="29"/>
      <c r="D34" s="29"/>
      <c r="E34" s="29"/>
      <c r="F34" s="30"/>
      <c r="G34" s="29"/>
      <c r="H34" s="31"/>
      <c r="I34" s="31"/>
      <c r="J34" s="29"/>
    </row>
    <row r="35" spans="1:10" ht="15.6">
      <c r="A35" s="28"/>
      <c r="B35" s="29"/>
      <c r="C35" s="29"/>
      <c r="D35" s="29"/>
      <c r="E35" s="29"/>
      <c r="F35" s="30"/>
      <c r="G35" s="29"/>
      <c r="H35" s="31"/>
      <c r="I35" s="31"/>
      <c r="J35" s="29"/>
    </row>
    <row r="36" spans="1:10" ht="15.6">
      <c r="A36" s="28"/>
      <c r="B36" s="29"/>
      <c r="C36" s="29"/>
      <c r="D36" s="29"/>
      <c r="E36" s="30"/>
      <c r="F36" s="30"/>
      <c r="G36" s="29"/>
      <c r="H36" s="31"/>
      <c r="I36" s="31"/>
      <c r="J36" s="29"/>
    </row>
    <row r="37" spans="1:10" ht="15.6">
      <c r="A37" s="32"/>
      <c r="B37" s="33"/>
      <c r="C37" s="33"/>
      <c r="D37" s="34"/>
      <c r="E37" s="34"/>
      <c r="F37" s="34"/>
      <c r="G37" s="33"/>
      <c r="H37" s="33"/>
      <c r="I37" s="33"/>
      <c r="J37" s="3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X42"/>
  <sheetViews>
    <sheetView topLeftCell="I1" workbookViewId="0">
      <selection activeCell="V9" sqref="V9"/>
    </sheetView>
  </sheetViews>
  <sheetFormatPr defaultRowHeight="14.4"/>
  <cols>
    <col min="1" max="1" width="13.6640625" bestFit="1" customWidth="1"/>
    <col min="2" max="2" width="14.88671875" bestFit="1" customWidth="1"/>
    <col min="3" max="3" width="37" bestFit="1" customWidth="1"/>
    <col min="4" max="4" width="8.109375" bestFit="1" customWidth="1"/>
    <col min="8" max="8" width="11" bestFit="1" customWidth="1"/>
    <col min="15" max="15" width="11.44140625" bestFit="1" customWidth="1"/>
    <col min="16" max="16" width="39" bestFit="1" customWidth="1"/>
    <col min="17" max="17" width="6.5546875" bestFit="1" customWidth="1"/>
    <col min="18" max="18" width="5.44140625" bestFit="1" customWidth="1"/>
    <col min="19" max="19" width="8.33203125" bestFit="1" customWidth="1"/>
    <col min="20" max="20" width="15.44140625" bestFit="1" customWidth="1"/>
    <col min="21" max="21" width="7" bestFit="1" customWidth="1"/>
    <col min="22" max="22" width="11.88671875" bestFit="1" customWidth="1"/>
    <col min="23" max="23" width="13.6640625" bestFit="1" customWidth="1"/>
    <col min="24" max="24" width="11" bestFit="1" customWidth="1"/>
  </cols>
  <sheetData>
    <row r="1" spans="1:24" ht="15" thickBot="1">
      <c r="A1" s="6" t="s">
        <v>25</v>
      </c>
      <c r="B1" s="7" t="s">
        <v>26</v>
      </c>
      <c r="C1" s="7" t="s">
        <v>27</v>
      </c>
      <c r="D1" s="7" t="s">
        <v>28</v>
      </c>
    </row>
    <row r="2" spans="1:24" ht="15" thickBot="1">
      <c r="A2" s="8">
        <v>2300042830</v>
      </c>
      <c r="B2" s="9" t="s">
        <v>29</v>
      </c>
      <c r="C2" s="9" t="s">
        <v>30</v>
      </c>
      <c r="D2" s="10">
        <v>56</v>
      </c>
      <c r="G2" s="14"/>
      <c r="H2" s="13">
        <v>3161352722</v>
      </c>
      <c r="O2" s="23" t="s">
        <v>113</v>
      </c>
      <c r="P2" s="24" t="s">
        <v>114</v>
      </c>
      <c r="Q2" s="24" t="s">
        <v>115</v>
      </c>
      <c r="R2" s="24" t="s">
        <v>116</v>
      </c>
      <c r="S2" s="24" t="s">
        <v>117</v>
      </c>
      <c r="T2" s="24" t="s">
        <v>118</v>
      </c>
      <c r="U2" s="24" t="s">
        <v>119</v>
      </c>
      <c r="V2" s="24" t="s">
        <v>120</v>
      </c>
      <c r="W2" s="24" t="s">
        <v>121</v>
      </c>
      <c r="X2" s="24" t="s">
        <v>2</v>
      </c>
    </row>
    <row r="3" spans="1:24" ht="15" thickBot="1">
      <c r="A3" s="8">
        <v>2300042830</v>
      </c>
      <c r="B3" s="9" t="s">
        <v>31</v>
      </c>
      <c r="C3" s="9" t="s">
        <v>32</v>
      </c>
      <c r="D3" s="10">
        <v>112</v>
      </c>
      <c r="G3" s="14"/>
      <c r="H3" s="13">
        <v>3161352723</v>
      </c>
      <c r="O3" s="14">
        <v>921885</v>
      </c>
      <c r="P3" s="13" t="s">
        <v>122</v>
      </c>
      <c r="Q3" s="13">
        <v>9.15</v>
      </c>
      <c r="R3" s="13">
        <v>120</v>
      </c>
      <c r="S3" s="13">
        <v>1098</v>
      </c>
      <c r="T3" s="13" t="s">
        <v>123</v>
      </c>
      <c r="U3" s="13">
        <v>916442</v>
      </c>
      <c r="V3" s="13" t="s">
        <v>124</v>
      </c>
      <c r="W3" s="13"/>
      <c r="X3" s="13">
        <v>3151259561</v>
      </c>
    </row>
    <row r="4" spans="1:24" ht="15" thickBot="1">
      <c r="A4" s="8">
        <v>2300042830</v>
      </c>
      <c r="B4" s="9" t="s">
        <v>33</v>
      </c>
      <c r="C4" s="9" t="s">
        <v>34</v>
      </c>
      <c r="D4" s="10">
        <v>112</v>
      </c>
      <c r="O4" s="14">
        <v>369219</v>
      </c>
      <c r="P4" s="13" t="s">
        <v>125</v>
      </c>
      <c r="Q4" s="13">
        <v>6.05</v>
      </c>
      <c r="R4" s="13">
        <v>162</v>
      </c>
      <c r="S4" s="13">
        <v>980.1</v>
      </c>
      <c r="T4" s="13" t="s">
        <v>126</v>
      </c>
      <c r="U4" s="13">
        <v>907465</v>
      </c>
      <c r="V4" s="13" t="s">
        <v>124</v>
      </c>
      <c r="W4" s="13"/>
      <c r="X4" s="13">
        <v>3151259561</v>
      </c>
    </row>
    <row r="5" spans="1:24" ht="15" thickBot="1">
      <c r="A5" s="8">
        <v>2300042830</v>
      </c>
      <c r="B5" s="9" t="s">
        <v>35</v>
      </c>
      <c r="C5" s="9" t="s">
        <v>36</v>
      </c>
      <c r="D5" s="10">
        <v>112</v>
      </c>
      <c r="O5" s="14">
        <v>902511</v>
      </c>
      <c r="P5" s="13" t="s">
        <v>127</v>
      </c>
      <c r="Q5" s="13">
        <v>1.22</v>
      </c>
      <c r="R5" s="13">
        <v>540</v>
      </c>
      <c r="S5" s="13">
        <v>658.8</v>
      </c>
      <c r="T5" s="13" t="s">
        <v>128</v>
      </c>
      <c r="U5" s="13">
        <v>916438</v>
      </c>
      <c r="V5" s="13" t="s">
        <v>124</v>
      </c>
      <c r="W5" s="13" t="s">
        <v>129</v>
      </c>
      <c r="X5" s="13">
        <v>3151259561</v>
      </c>
    </row>
    <row r="6" spans="1:24" ht="15" thickBot="1">
      <c r="A6" s="8">
        <v>2300042830</v>
      </c>
      <c r="B6" s="9" t="s">
        <v>37</v>
      </c>
      <c r="C6" s="9" t="s">
        <v>38</v>
      </c>
      <c r="D6" s="10">
        <v>112</v>
      </c>
      <c r="O6" s="14">
        <v>926078</v>
      </c>
      <c r="P6" s="13" t="s">
        <v>130</v>
      </c>
      <c r="Q6" s="13">
        <v>2.89</v>
      </c>
      <c r="R6" s="13">
        <v>306</v>
      </c>
      <c r="S6" s="13">
        <v>884.34</v>
      </c>
      <c r="T6" s="13" t="s">
        <v>131</v>
      </c>
      <c r="U6" s="13">
        <v>916439</v>
      </c>
      <c r="V6" s="13" t="s">
        <v>124</v>
      </c>
      <c r="W6" s="13"/>
      <c r="X6" s="13">
        <v>3151259561</v>
      </c>
    </row>
    <row r="7" spans="1:24" ht="15" thickBot="1">
      <c r="A7" s="8">
        <v>2300042830</v>
      </c>
      <c r="B7" s="9" t="s">
        <v>39</v>
      </c>
      <c r="C7" s="9" t="s">
        <v>40</v>
      </c>
      <c r="D7" s="10">
        <v>112</v>
      </c>
      <c r="O7" s="14">
        <v>504090</v>
      </c>
      <c r="P7" s="13" t="s">
        <v>132</v>
      </c>
      <c r="Q7" s="13">
        <v>4.6399999999999997</v>
      </c>
      <c r="R7" s="13">
        <v>1206</v>
      </c>
      <c r="S7" s="13">
        <v>5595.84</v>
      </c>
      <c r="T7" s="13" t="s">
        <v>133</v>
      </c>
      <c r="U7" s="13">
        <v>915070</v>
      </c>
      <c r="V7" s="25" t="s">
        <v>134</v>
      </c>
      <c r="W7" s="25"/>
      <c r="X7" s="25">
        <v>3151259594</v>
      </c>
    </row>
    <row r="8" spans="1:24" ht="15" thickBot="1">
      <c r="A8" s="8">
        <v>2300042830</v>
      </c>
      <c r="B8" s="9" t="s">
        <v>41</v>
      </c>
      <c r="C8" s="9" t="s">
        <v>42</v>
      </c>
      <c r="D8" s="10">
        <v>56</v>
      </c>
      <c r="O8" s="14">
        <v>794324</v>
      </c>
      <c r="P8" s="13" t="s">
        <v>135</v>
      </c>
      <c r="Q8" s="13">
        <v>3.04</v>
      </c>
      <c r="R8" s="13">
        <v>1200</v>
      </c>
      <c r="S8" s="13">
        <v>3648</v>
      </c>
      <c r="T8" s="13" t="s">
        <v>136</v>
      </c>
      <c r="U8" s="13">
        <v>915069</v>
      </c>
      <c r="V8" s="25" t="s">
        <v>134</v>
      </c>
      <c r="W8" s="25"/>
      <c r="X8" s="25">
        <v>3151259594</v>
      </c>
    </row>
    <row r="9" spans="1:24" ht="15" thickBot="1">
      <c r="A9" s="8">
        <v>2300042830</v>
      </c>
      <c r="B9" s="9" t="s">
        <v>43</v>
      </c>
      <c r="C9" s="9" t="s">
        <v>44</v>
      </c>
      <c r="D9" s="10">
        <v>56</v>
      </c>
      <c r="O9" s="14">
        <v>654685</v>
      </c>
      <c r="P9" s="13" t="s">
        <v>137</v>
      </c>
      <c r="Q9" s="13">
        <v>1.44</v>
      </c>
      <c r="R9" s="13">
        <v>4032</v>
      </c>
      <c r="S9" s="13">
        <v>5806.08</v>
      </c>
      <c r="T9" s="13" t="s">
        <v>138</v>
      </c>
      <c r="U9" s="13">
        <v>915068</v>
      </c>
      <c r="V9" s="25" t="s">
        <v>134</v>
      </c>
      <c r="W9" s="25"/>
      <c r="X9" s="25">
        <v>3151259594</v>
      </c>
    </row>
    <row r="10" spans="1:24" ht="15" thickBot="1">
      <c r="A10" s="8">
        <v>2300042830</v>
      </c>
      <c r="B10" s="9" t="s">
        <v>45</v>
      </c>
      <c r="C10" s="9" t="s">
        <v>46</v>
      </c>
      <c r="D10" s="10">
        <v>72</v>
      </c>
      <c r="H10" s="15" t="s">
        <v>110</v>
      </c>
      <c r="I10" s="16" t="s">
        <v>111</v>
      </c>
      <c r="O10" s="14">
        <v>747074</v>
      </c>
      <c r="P10" s="13" t="s">
        <v>139</v>
      </c>
      <c r="Q10" s="13">
        <v>4.6399999999999997</v>
      </c>
      <c r="R10" s="13">
        <v>504</v>
      </c>
      <c r="S10" s="13">
        <v>2338.56</v>
      </c>
      <c r="T10" s="13" t="s">
        <v>133</v>
      </c>
      <c r="U10" s="13">
        <v>915070</v>
      </c>
      <c r="V10" s="25" t="s">
        <v>140</v>
      </c>
      <c r="W10" s="25"/>
      <c r="X10" s="25">
        <v>3151259594</v>
      </c>
    </row>
    <row r="11" spans="1:24" ht="15" thickBot="1">
      <c r="A11" s="8">
        <v>2300042830</v>
      </c>
      <c r="B11" s="9" t="s">
        <v>47</v>
      </c>
      <c r="C11" s="9" t="s">
        <v>48</v>
      </c>
      <c r="D11" s="10">
        <v>144</v>
      </c>
      <c r="H11" s="17">
        <v>3191300170</v>
      </c>
      <c r="I11" s="18">
        <v>3161352719</v>
      </c>
      <c r="O11" s="14">
        <v>536312</v>
      </c>
      <c r="P11" s="13" t="s">
        <v>141</v>
      </c>
      <c r="Q11" s="13">
        <v>3.04</v>
      </c>
      <c r="R11" s="13">
        <v>504</v>
      </c>
      <c r="S11" s="13">
        <v>1532.16</v>
      </c>
      <c r="T11" s="13" t="s">
        <v>136</v>
      </c>
      <c r="U11" s="13">
        <v>915069</v>
      </c>
      <c r="V11" s="25" t="s">
        <v>140</v>
      </c>
      <c r="W11" s="25"/>
      <c r="X11" s="25">
        <v>3151259594</v>
      </c>
    </row>
    <row r="12" spans="1:24" ht="15" thickBot="1">
      <c r="A12" s="8">
        <v>2300042830</v>
      </c>
      <c r="B12" s="9" t="s">
        <v>49</v>
      </c>
      <c r="C12" s="9" t="s">
        <v>50</v>
      </c>
      <c r="D12" s="10">
        <v>288</v>
      </c>
      <c r="H12" s="17">
        <v>3191300171</v>
      </c>
      <c r="I12" s="18">
        <v>3161352720</v>
      </c>
      <c r="O12" s="14">
        <v>655189</v>
      </c>
      <c r="P12" s="13" t="s">
        <v>142</v>
      </c>
      <c r="Q12" s="13">
        <v>1.44</v>
      </c>
      <c r="R12" s="13">
        <v>1008</v>
      </c>
      <c r="S12" s="13">
        <v>1451.52</v>
      </c>
      <c r="T12" s="13" t="s">
        <v>138</v>
      </c>
      <c r="U12" s="13">
        <v>915068</v>
      </c>
      <c r="V12" s="25" t="s">
        <v>140</v>
      </c>
      <c r="W12" s="25"/>
      <c r="X12" s="25">
        <v>3151259594</v>
      </c>
    </row>
    <row r="13" spans="1:24" ht="15" thickBot="1">
      <c r="A13" s="8">
        <v>2300042830</v>
      </c>
      <c r="B13" s="9" t="s">
        <v>51</v>
      </c>
      <c r="C13" s="9" t="s">
        <v>52</v>
      </c>
      <c r="D13" s="10">
        <v>72</v>
      </c>
      <c r="H13" s="17" t="s">
        <v>112</v>
      </c>
      <c r="I13" s="18">
        <v>3161352722</v>
      </c>
    </row>
    <row r="14" spans="1:24" ht="15" thickBot="1">
      <c r="A14" s="8">
        <v>2300042830</v>
      </c>
      <c r="B14" s="9" t="s">
        <v>53</v>
      </c>
      <c r="C14" s="9" t="s">
        <v>54</v>
      </c>
      <c r="D14" s="10">
        <v>144</v>
      </c>
      <c r="H14" s="17" t="s">
        <v>109</v>
      </c>
      <c r="I14" s="18">
        <v>3161352723</v>
      </c>
    </row>
    <row r="15" spans="1:24" ht="15" thickBot="1">
      <c r="A15" s="8">
        <v>2300042830</v>
      </c>
      <c r="B15" s="9" t="s">
        <v>55</v>
      </c>
      <c r="C15" s="9" t="s">
        <v>56</v>
      </c>
      <c r="D15" s="10">
        <v>144</v>
      </c>
      <c r="H15" s="19"/>
    </row>
    <row r="16" spans="1:24" ht="15.6" thickBot="1">
      <c r="A16" s="8">
        <v>2300042830</v>
      </c>
      <c r="B16" s="9" t="s">
        <v>57</v>
      </c>
      <c r="C16" s="9" t="s">
        <v>58</v>
      </c>
      <c r="D16" s="10">
        <v>360</v>
      </c>
      <c r="H16" s="20"/>
    </row>
    <row r="17" spans="1:8" ht="18" thickBot="1">
      <c r="A17" s="8">
        <v>2300042830</v>
      </c>
      <c r="B17" s="9" t="s">
        <v>59</v>
      </c>
      <c r="C17" s="9" t="s">
        <v>60</v>
      </c>
      <c r="D17" s="10">
        <v>216</v>
      </c>
      <c r="H17" s="21"/>
    </row>
    <row r="18" spans="1:8" ht="15" thickBot="1">
      <c r="A18" s="8">
        <v>2300042830</v>
      </c>
      <c r="B18" s="9" t="s">
        <v>61</v>
      </c>
      <c r="C18" s="9" t="s">
        <v>62</v>
      </c>
      <c r="D18" s="10">
        <v>952</v>
      </c>
    </row>
    <row r="19" spans="1:8" ht="15" thickBot="1">
      <c r="A19" s="8">
        <v>2300042830</v>
      </c>
      <c r="B19" s="9" t="s">
        <v>63</v>
      </c>
      <c r="C19" s="9" t="s">
        <v>64</v>
      </c>
      <c r="D19" s="10">
        <v>168</v>
      </c>
    </row>
    <row r="20" spans="1:8" ht="15" thickBot="1">
      <c r="A20" s="8">
        <v>2300042830</v>
      </c>
      <c r="B20" s="9" t="s">
        <v>65</v>
      </c>
      <c r="C20" s="9" t="s">
        <v>66</v>
      </c>
      <c r="D20" s="10">
        <v>336</v>
      </c>
    </row>
    <row r="21" spans="1:8" ht="15" thickBot="1">
      <c r="A21" s="8">
        <v>2300042830</v>
      </c>
      <c r="B21" s="9" t="s">
        <v>67</v>
      </c>
      <c r="C21" s="9" t="s">
        <v>68</v>
      </c>
      <c r="D21" s="10">
        <v>112</v>
      </c>
    </row>
    <row r="22" spans="1:8" ht="15" thickBot="1">
      <c r="A22" s="8">
        <v>2300042830</v>
      </c>
      <c r="B22" s="9" t="s">
        <v>69</v>
      </c>
      <c r="C22" s="9" t="s">
        <v>70</v>
      </c>
      <c r="D22" s="10">
        <v>168</v>
      </c>
    </row>
    <row r="23" spans="1:8" ht="15" thickBot="1">
      <c r="A23" s="8">
        <v>2300042830</v>
      </c>
      <c r="B23" s="9" t="s">
        <v>71</v>
      </c>
      <c r="C23" s="9" t="s">
        <v>72</v>
      </c>
      <c r="D23" s="10">
        <v>168</v>
      </c>
    </row>
    <row r="24" spans="1:8" ht="15" thickBot="1">
      <c r="A24" s="8">
        <v>2300042830</v>
      </c>
      <c r="B24" s="9" t="s">
        <v>73</v>
      </c>
      <c r="C24" s="9" t="s">
        <v>74</v>
      </c>
      <c r="D24" s="10">
        <v>280</v>
      </c>
    </row>
    <row r="25" spans="1:8" ht="15" thickBot="1">
      <c r="A25" s="8">
        <v>2300042830</v>
      </c>
      <c r="B25" s="9" t="s">
        <v>75</v>
      </c>
      <c r="C25" s="9" t="s">
        <v>76</v>
      </c>
      <c r="D25" s="10">
        <v>168</v>
      </c>
    </row>
    <row r="26" spans="1:8" ht="15" thickBot="1">
      <c r="A26" s="8">
        <v>2300042830</v>
      </c>
      <c r="B26" s="9" t="s">
        <v>77</v>
      </c>
      <c r="C26" s="9" t="s">
        <v>78</v>
      </c>
      <c r="D26" s="11">
        <v>1344</v>
      </c>
    </row>
    <row r="27" spans="1:8" ht="15" thickBot="1">
      <c r="A27" s="8">
        <v>2300042830</v>
      </c>
      <c r="B27" s="9" t="s">
        <v>79</v>
      </c>
      <c r="C27" s="9" t="s">
        <v>80</v>
      </c>
      <c r="D27" s="10">
        <v>256</v>
      </c>
    </row>
    <row r="28" spans="1:8" ht="15" thickBot="1">
      <c r="A28" s="8">
        <v>2300042830</v>
      </c>
      <c r="B28" s="9" t="s">
        <v>81</v>
      </c>
      <c r="C28" s="9" t="s">
        <v>82</v>
      </c>
      <c r="D28" s="10">
        <v>512</v>
      </c>
    </row>
    <row r="29" spans="1:8" ht="15" thickBot="1">
      <c r="A29" s="8">
        <v>2300042830</v>
      </c>
      <c r="B29" s="9" t="s">
        <v>83</v>
      </c>
      <c r="C29" s="9" t="s">
        <v>84</v>
      </c>
      <c r="D29" s="10">
        <v>192</v>
      </c>
    </row>
    <row r="30" spans="1:8" ht="15" thickBot="1">
      <c r="A30" s="8">
        <v>2300042830</v>
      </c>
      <c r="B30" s="9" t="s">
        <v>85</v>
      </c>
      <c r="C30" s="9" t="s">
        <v>86</v>
      </c>
      <c r="D30" s="10">
        <v>256</v>
      </c>
    </row>
    <row r="31" spans="1:8" ht="15" thickBot="1">
      <c r="A31" s="8">
        <v>2300042830</v>
      </c>
      <c r="B31" s="9" t="s">
        <v>87</v>
      </c>
      <c r="C31" s="9" t="s">
        <v>88</v>
      </c>
      <c r="D31" s="10">
        <v>256</v>
      </c>
    </row>
    <row r="32" spans="1:8" ht="15" thickBot="1">
      <c r="A32" s="8">
        <v>2300042830</v>
      </c>
      <c r="B32" s="9" t="s">
        <v>89</v>
      </c>
      <c r="C32" s="9" t="s">
        <v>90</v>
      </c>
      <c r="D32" s="10">
        <v>512</v>
      </c>
    </row>
    <row r="33" spans="1:4" ht="15" thickBot="1">
      <c r="A33" s="8">
        <v>2300042830</v>
      </c>
      <c r="B33" s="9" t="s">
        <v>91</v>
      </c>
      <c r="C33" s="9" t="s">
        <v>92</v>
      </c>
      <c r="D33" s="10">
        <v>384</v>
      </c>
    </row>
    <row r="34" spans="1:4" ht="15" thickBot="1">
      <c r="A34" s="8">
        <v>2300042830</v>
      </c>
      <c r="B34" s="9" t="s">
        <v>93</v>
      </c>
      <c r="C34" s="9" t="s">
        <v>94</v>
      </c>
      <c r="D34" s="10">
        <v>960</v>
      </c>
    </row>
    <row r="35" spans="1:4" ht="15" thickBot="1">
      <c r="A35" s="8">
        <v>2300042830</v>
      </c>
      <c r="B35" s="9" t="s">
        <v>95</v>
      </c>
      <c r="C35" s="9" t="s">
        <v>96</v>
      </c>
      <c r="D35" s="10">
        <v>80</v>
      </c>
    </row>
    <row r="36" spans="1:4" ht="15" thickBot="1">
      <c r="A36" s="8">
        <v>2300042830</v>
      </c>
      <c r="B36" s="9" t="s">
        <v>97</v>
      </c>
      <c r="C36" s="9" t="s">
        <v>98</v>
      </c>
      <c r="D36" s="10">
        <v>240</v>
      </c>
    </row>
    <row r="37" spans="1:4" ht="15" thickBot="1">
      <c r="A37" s="8">
        <v>2300042830</v>
      </c>
      <c r="B37" s="9" t="s">
        <v>99</v>
      </c>
      <c r="C37" s="9" t="s">
        <v>100</v>
      </c>
      <c r="D37" s="10">
        <v>80</v>
      </c>
    </row>
    <row r="38" spans="1:4" ht="15" thickBot="1">
      <c r="A38" s="8">
        <v>2300042830</v>
      </c>
      <c r="B38" s="9" t="s">
        <v>101</v>
      </c>
      <c r="C38" s="9" t="s">
        <v>102</v>
      </c>
      <c r="D38" s="10">
        <v>80</v>
      </c>
    </row>
    <row r="39" spans="1:4" ht="15" thickBot="1">
      <c r="A39" s="8">
        <v>2300042830</v>
      </c>
      <c r="B39" s="9" t="s">
        <v>103</v>
      </c>
      <c r="C39" s="9" t="s">
        <v>104</v>
      </c>
      <c r="D39" s="10">
        <v>80</v>
      </c>
    </row>
    <row r="40" spans="1:4" ht="15" thickBot="1">
      <c r="A40" s="8">
        <v>2300042830</v>
      </c>
      <c r="B40" s="9" t="s">
        <v>105</v>
      </c>
      <c r="C40" s="9" t="s">
        <v>106</v>
      </c>
      <c r="D40" s="10">
        <v>320</v>
      </c>
    </row>
    <row r="41" spans="1:4" ht="15" thickBot="1">
      <c r="A41" s="8">
        <v>2300042830</v>
      </c>
      <c r="B41" s="9" t="s">
        <v>107</v>
      </c>
      <c r="C41" s="9" t="s">
        <v>108</v>
      </c>
      <c r="D41" s="10">
        <v>240</v>
      </c>
    </row>
    <row r="42" spans="1:4" ht="15" thickBot="1">
      <c r="A42" s="8"/>
      <c r="B42" s="9"/>
      <c r="C42" s="9"/>
      <c r="D42" s="12">
        <f>SUM(D2:D41)</f>
        <v>10312</v>
      </c>
    </row>
  </sheetData>
  <autoFilter ref="O2:X12" xr:uid="{00000000-0009-0000-0000-000003000000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WALMART</vt:lpstr>
      <vt:lpstr>Sheet1</vt:lpstr>
      <vt:lpstr>Sheet3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Chetan Patel</dc:creator>
  <cp:keywords/>
  <dc:description/>
  <cp:lastModifiedBy>Ajay Kanki</cp:lastModifiedBy>
  <cp:revision/>
  <dcterms:created xsi:type="dcterms:W3CDTF">2018-06-25T05:04:10Z</dcterms:created>
  <dcterms:modified xsi:type="dcterms:W3CDTF">2025-02-14T17:32:01Z</dcterms:modified>
  <cp:category/>
  <cp:contentStatus/>
</cp:coreProperties>
</file>